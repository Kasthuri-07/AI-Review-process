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ent Master" sheetId="1" state="visible" r:id="rId1"/>
    <sheet name="Task Allocation" sheetId="2" state="visible" r:id="rId2"/>
    <sheet name="Review Schedule" sheetId="3" state="visible" r:id="rId3"/>
    <sheet name="AI Review Feedback" sheetId="4" state="visible" r:id="rId4"/>
    <sheet name="Email Log" sheetId="5" state="visible" r:id="rId5"/>
    <sheet name="Dashboard" sheetId="6" state="visible" r:id="rId6"/>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Segoe UI"/>
      <b val="1"/>
      <color rgb="00FFFFFF"/>
      <sz val="16"/>
    </font>
    <font>
      <name val="Segoe UI"/>
      <i val="1"/>
      <color rgb="0064748B"/>
      <sz val="10"/>
    </font>
    <font>
      <name val="Segoe UI"/>
      <b val="1"/>
      <color rgb="0064748B"/>
      <sz val="9"/>
    </font>
    <font>
      <name val="Segoe UI"/>
      <b val="1"/>
      <color rgb="001E3A8A"/>
      <sz val="16"/>
    </font>
    <font>
      <name val="Segoe UI"/>
      <b val="1"/>
      <color rgb="000D9488"/>
      <sz val="16"/>
    </font>
    <font>
      <name val="Segoe UI"/>
      <b val="1"/>
      <color rgb="002563EB"/>
      <sz val="16"/>
    </font>
    <font>
      <name val="Segoe UI"/>
      <b val="1"/>
      <color rgb="0016A34A"/>
      <sz val="16"/>
    </font>
    <font>
      <name val="Segoe UI"/>
      <b val="1"/>
      <color rgb="00D97706"/>
      <sz val="16"/>
    </font>
    <font>
      <name val="Segoe UI"/>
      <b val="1"/>
      <color rgb="00DC2626"/>
      <sz val="16"/>
    </font>
    <font>
      <name val="Segoe UI"/>
      <b val="1"/>
      <color rgb="007C3AED"/>
      <sz val="16"/>
    </font>
    <font>
      <name val="Segoe UI"/>
      <b val="1"/>
      <color rgb="00059669"/>
      <sz val="16"/>
    </font>
    <font>
      <name val="Segoe UI"/>
      <b val="1"/>
      <color rgb="00EA580C"/>
      <sz val="16"/>
    </font>
    <font>
      <name val="Segoe UI"/>
      <b val="1"/>
      <color rgb="000284C7"/>
      <sz val="16"/>
    </font>
    <font>
      <name val="Segoe UI"/>
      <b val="1"/>
      <color rgb="00B91C1C"/>
      <sz val="16"/>
    </font>
    <font>
      <name val="Segoe UI"/>
      <b val="1"/>
      <color rgb="009333EA"/>
      <sz val="16"/>
    </font>
    <font>
      <name val="Segoe UI"/>
      <b val="1"/>
      <color rgb="001E293B"/>
      <sz val="11"/>
    </font>
    <font>
      <name val="Segoe UI"/>
      <b val="1"/>
      <color rgb="00FFFFFF"/>
      <sz val="10"/>
    </font>
    <font>
      <name val="Segoe UI"/>
      <sz val="10"/>
    </font>
    <font>
      <name val="Segoe UI"/>
      <b val="1"/>
      <sz val="10"/>
    </font>
    <font>
      <name val="Segoe UI"/>
      <b val="1"/>
      <color rgb="00FFFFFF"/>
      <sz val="11"/>
    </font>
  </fonts>
  <fills count="7">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FFFFFF"/>
        <bgColor rgb="00FFFFFF"/>
      </patternFill>
    </fill>
    <fill>
      <patternFill patternType="solid">
        <fgColor rgb="001E293B"/>
        <bgColor rgb="001E293B"/>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4">
    <xf numFmtId="0" fontId="0" fillId="0" borderId="0" pivotButton="0" quotePrefix="0" xfId="0"/>
    <xf numFmtId="0" fontId="20" fillId="5" borderId="1" applyAlignment="1" pivotButton="0" quotePrefix="0" xfId="0">
      <alignment horizontal="center" vertical="center" wrapText="1"/>
    </xf>
    <xf numFmtId="0" fontId="18" fillId="6" borderId="1" applyAlignment="1" pivotButton="0" quotePrefix="0" xfId="0">
      <alignment vertical="center"/>
    </xf>
    <xf numFmtId="0" fontId="18" fillId="4" borderId="1" applyAlignment="1" pivotButton="0" quotePrefix="0" xfId="0">
      <alignment vertical="center"/>
    </xf>
    <xf numFmtId="0" fontId="1" fillId="2" borderId="0" applyAlignment="1" pivotButton="0" quotePrefix="0" xfId="0">
      <alignment horizontal="center" vertical="center"/>
    </xf>
    <xf numFmtId="0" fontId="2" fillId="0" borderId="0" pivotButton="0" quotePrefix="0" xfId="0"/>
    <xf numFmtId="0" fontId="3" fillId="3" borderId="1" applyAlignment="1" pivotButton="0" quotePrefix="0" xfId="0">
      <alignment horizontal="center" vertical="center"/>
    </xf>
    <xf numFmtId="0" fontId="0" fillId="0" borderId="1" pivotButton="0" quotePrefix="0" xfId="0"/>
    <xf numFmtId="0" fontId="4" fillId="4" borderId="1" applyAlignment="1" pivotButton="0" quotePrefix="0" xfId="0">
      <alignment horizontal="center" vertical="center"/>
    </xf>
    <xf numFmtId="0" fontId="5" fillId="4" borderId="1" applyAlignment="1" pivotButton="0" quotePrefix="0" xfId="0">
      <alignment horizontal="center" vertical="center"/>
    </xf>
    <xf numFmtId="0" fontId="6" fillId="4" borderId="1" applyAlignment="1" pivotButton="0" quotePrefix="0" xfId="0">
      <alignment horizontal="center" vertical="center"/>
    </xf>
    <xf numFmtId="0" fontId="7" fillId="4" borderId="1" applyAlignment="1" pivotButton="0" quotePrefix="0" xfId="0">
      <alignment horizontal="center" vertical="center"/>
    </xf>
    <xf numFmtId="0" fontId="8" fillId="4" borderId="1" applyAlignment="1" pivotButton="0" quotePrefix="0" xfId="0">
      <alignment horizontal="center" vertical="center"/>
    </xf>
    <xf numFmtId="0" fontId="9" fillId="4" borderId="1" applyAlignment="1" pivotButton="0" quotePrefix="0" xfId="0">
      <alignment horizontal="center" vertical="center"/>
    </xf>
    <xf numFmtId="0" fontId="10" fillId="4" borderId="1" applyAlignment="1" pivotButton="0" quotePrefix="0" xfId="0">
      <alignment horizontal="center" vertical="center"/>
    </xf>
    <xf numFmtId="0" fontId="11" fillId="4" borderId="1" applyAlignment="1" pivotButton="0" quotePrefix="0" xfId="0">
      <alignment horizontal="center" vertical="center"/>
    </xf>
    <xf numFmtId="0" fontId="12" fillId="4" borderId="1" applyAlignment="1" pivotButton="0" quotePrefix="0" xfId="0">
      <alignment horizontal="center" vertical="center"/>
    </xf>
    <xf numFmtId="0" fontId="13" fillId="4" borderId="1" applyAlignment="1" pivotButton="0" quotePrefix="0" xfId="0">
      <alignment horizontal="center" vertical="center"/>
    </xf>
    <xf numFmtId="0" fontId="14" fillId="4" borderId="1" applyAlignment="1" pivotButton="0" quotePrefix="0" xfId="0">
      <alignment horizontal="center" vertical="center"/>
    </xf>
    <xf numFmtId="0" fontId="15" fillId="4" borderId="1" applyAlignment="1" pivotButton="0" quotePrefix="0" xfId="0">
      <alignment horizontal="center" vertical="center"/>
    </xf>
    <xf numFmtId="0" fontId="16" fillId="0" borderId="0" pivotButton="0" quotePrefix="0" xfId="0"/>
    <xf numFmtId="0" fontId="17" fillId="5" borderId="0" pivotButton="0" quotePrefix="0" xfId="0"/>
    <xf numFmtId="0" fontId="18" fillId="0" borderId="1" pivotButton="0" quotePrefix="0" xfId="0"/>
    <xf numFmtId="0" fontId="19"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style val="10"/>
  <chart>
    <title>
      <tx>
        <rich>
          <a:bodyPr/>
          <a:p>
            <a:pPr>
              <a:defRPr/>
            </a:pPr>
            <a:r>
              <a:t>Students by Internship Status</a:t>
            </a:r>
          </a:p>
        </rich>
      </tx>
    </title>
    <plotArea>
      <barChart>
        <barDir val="col"/>
        <grouping val="clustered"/>
        <ser>
          <idx val="0"/>
          <order val="0"/>
          <tx>
            <strRef>
              <f>'Dashboard'!B16</f>
            </strRef>
          </tx>
          <spPr>
            <a:ln>
              <a:prstDash val="solid"/>
            </a:ln>
          </spPr>
          <cat>
            <numRef>
              <f>'Dashboard'!$A$17:$A$20</f>
            </numRef>
          </cat>
          <val>
            <numRef>
              <f>'Dashboard'!$B$17:$B$20</f>
            </numRef>
          </val>
        </ser>
        <gapWidth val="150"/>
        <axId val="10"/>
        <axId val="100"/>
      </barChart>
      <catAx>
        <axId val="10"/>
        <scaling>
          <orientation val="minMax"/>
        </scaling>
        <axPos val="l"/>
        <title>
          <tx>
            <rich>
              <a:bodyPr/>
              <a:p>
                <a:pPr>
                  <a:defRPr/>
                </a:pPr>
                <a:r>
                  <a:t>Status</a:t>
                </a:r>
              </a:p>
            </rich>
          </tx>
        </title>
        <majorTickMark val="none"/>
        <minorTickMark val="none"/>
        <crossAx val="100"/>
        <lblOffset val="100"/>
      </catAx>
      <valAx>
        <axId val="100"/>
        <scaling>
          <orientation val="minMax"/>
        </scaling>
        <axPos val="l"/>
        <majorGridlines/>
        <title>
          <tx>
            <rich>
              <a:bodyPr/>
              <a:p>
                <a:pPr>
                  <a:defRPr/>
                </a:pPr>
                <a:r>
                  <a:t>Number of Students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14</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Z102"/>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34" customWidth="1" min="3" max="3"/>
    <col width="24" customWidth="1" min="4" max="4"/>
    <col width="22" customWidth="1" min="5" max="5"/>
    <col width="27" customWidth="1" min="6" max="6"/>
    <col width="27" customWidth="1" min="7" max="7"/>
    <col width="32" customWidth="1" min="8" max="8"/>
    <col width="19" customWidth="1" min="9" max="9"/>
    <col width="40" customWidth="1" min="10" max="10"/>
    <col width="40" customWidth="1" min="11" max="11"/>
    <col width="23" customWidth="1" min="12" max="12"/>
    <col width="16" customWidth="1" min="13" max="13"/>
    <col width="23" customWidth="1" min="14" max="14"/>
    <col width="24" customWidth="1" min="15" max="15"/>
    <col width="19" customWidth="1" min="16" max="16"/>
    <col width="19" customWidth="1" min="17" max="17"/>
    <col width="19" customWidth="1" min="18" max="18"/>
    <col width="40" customWidth="1" min="19" max="19"/>
    <col width="40" customWidth="1" min="20" max="20"/>
    <col width="40" customWidth="1" min="21" max="21"/>
    <col width="24" customWidth="1" min="22" max="22"/>
    <col width="20" customWidth="1" min="23" max="23"/>
    <col width="24" customWidth="1" min="24" max="24"/>
    <col width="22" customWidth="1" min="25" max="25"/>
    <col width="40" customWidth="1" min="26" max="26"/>
  </cols>
  <sheetData>
    <row r="1" ht="26" customHeight="1">
      <c r="A1" s="1" t="inlineStr">
        <is>
          <t>Student ID</t>
        </is>
      </c>
      <c r="B1" s="1" t="inlineStr">
        <is>
          <t>Student Name</t>
        </is>
      </c>
      <c r="C1" s="1" t="inlineStr">
        <is>
          <t>Student Email</t>
        </is>
      </c>
      <c r="D1" s="1" t="inlineStr">
        <is>
          <t>Internship Start Date</t>
        </is>
      </c>
      <c r="E1" s="1" t="inlineStr">
        <is>
          <t>Internship End Date</t>
        </is>
      </c>
      <c r="F1" s="1" t="inlineStr">
        <is>
          <t>Internship Role</t>
        </is>
      </c>
      <c r="G1" s="1" t="inlineStr">
        <is>
          <t>Mentor Name</t>
        </is>
      </c>
      <c r="H1" s="1" t="inlineStr">
        <is>
          <t>Mentor Email</t>
        </is>
      </c>
      <c r="I1" s="1" t="inlineStr">
        <is>
          <t>Assigned Task ID</t>
        </is>
      </c>
      <c r="J1" s="1" t="inlineStr">
        <is>
          <t>Assigned Task Title</t>
        </is>
      </c>
      <c r="K1" s="1" t="inlineStr">
        <is>
          <t>Task Description</t>
        </is>
      </c>
      <c r="L1" s="1" t="inlineStr">
        <is>
          <t>Task Allocation Date</t>
        </is>
      </c>
      <c r="M1" s="1" t="inlineStr">
        <is>
          <t>Task Deadline</t>
        </is>
      </c>
      <c r="N1" s="1" t="inlineStr">
        <is>
          <t>Task Status</t>
        </is>
      </c>
      <c r="O1" s="1" t="inlineStr">
        <is>
          <t>Current Review Number</t>
        </is>
      </c>
      <c r="P1" s="1" t="inlineStr">
        <is>
          <t>Last Review Date</t>
        </is>
      </c>
      <c r="Q1" s="1" t="inlineStr">
        <is>
          <t>Next Review Date</t>
        </is>
      </c>
      <c r="R1" s="1" t="inlineStr">
        <is>
          <t>Next Review Time</t>
        </is>
      </c>
      <c r="S1" s="1" t="inlineStr">
        <is>
          <t>GCR / Google Classroom Link</t>
        </is>
      </c>
      <c r="T1" s="1" t="inlineStr">
        <is>
          <t>Task Submission Link</t>
        </is>
      </c>
      <c r="U1" s="1" t="inlineStr">
        <is>
          <t>Latest AI Feedback</t>
        </is>
      </c>
      <c r="V1" s="1" t="inlineStr">
        <is>
          <t>Completion Percentage</t>
        </is>
      </c>
      <c r="W1" s="1" t="inlineStr">
        <is>
          <t>Internship Status</t>
        </is>
      </c>
      <c r="X1" s="1" t="inlineStr">
        <is>
          <t>Email Delivery Status</t>
        </is>
      </c>
      <c r="Y1" s="1" t="inlineStr">
        <is>
          <t>Last Email Sent</t>
        </is>
      </c>
      <c r="Z1" s="1" t="inlineStr">
        <is>
          <t>Remarks</t>
        </is>
      </c>
    </row>
    <row r="2">
      <c r="A2" s="2" t="inlineStr">
        <is>
          <t>STU-001</t>
        </is>
      </c>
      <c r="B2" s="2" t="inlineStr">
        <is>
          <t>Kasthuri</t>
        </is>
      </c>
      <c r="C2" s="2" t="inlineStr">
        <is>
          <t>kasthurikumar1105@gmail.com</t>
        </is>
      </c>
      <c r="D2" s="2" t="inlineStr">
        <is>
          <t>2026-09-02</t>
        </is>
      </c>
      <c r="E2" s="2" t="inlineStr">
        <is>
          <t>2026-12-02</t>
        </is>
      </c>
      <c r="F2" s="2" t="inlineStr">
        <is>
          <t>AI/ML Engineer</t>
        </is>
      </c>
      <c r="G2" s="2" t="inlineStr">
        <is>
          <t>Kasthuri Operations Team</t>
        </is>
      </c>
      <c r="H2" s="2" t="inlineStr">
        <is>
          <t>kasthuricute273@gmail.com</t>
        </is>
      </c>
      <c r="I2" s="2" t="inlineStr">
        <is>
          <t>TASK-AIML-101</t>
        </is>
      </c>
      <c r="J2" s="2" t="inlineStr">
        <is>
          <t>Customer Churn Prediction Pipeline with Scikit-Learn &amp; FastAPI</t>
        </is>
      </c>
      <c r="K2" s="2" t="inlineStr">
        <is>
          <t>Build an end-to-end churn prediction model on telecom customer data. Preprocess tabular data, train Random Forest / XGBoost, evaluate ROC-AUC, and expose inference via a FastAPI REST endpoint with Dockerfile.</t>
        </is>
      </c>
      <c r="L2" s="2" t="inlineStr">
        <is>
          <t>2026-09-04</t>
        </is>
      </c>
      <c r="M2" s="2" t="inlineStr">
        <is>
          <t>2026-09-14</t>
        </is>
      </c>
      <c r="N2" s="2" t="inlineStr">
        <is>
          <t>Under Review</t>
        </is>
      </c>
      <c r="O2" s="2" t="n">
        <v>2</v>
      </c>
      <c r="P2" s="2" t="inlineStr">
        <is>
          <t>2026-10-15</t>
        </is>
      </c>
      <c r="Q2" s="2" t="inlineStr"/>
      <c r="R2" s="2" t="inlineStr"/>
      <c r="S2" s="2" t="inlineStr">
        <is>
          <t>https://meet.google.com/zag-rcxj-kae</t>
        </is>
      </c>
      <c r="T2" s="2" t="inlineStr">
        <is>
          <t>https://classroom.google.com/c/submissions/stu-001_task-aiml-101</t>
        </is>
      </c>
      <c r="U2" s="2" t="inlineStr">
        <is>
          <t>Preliminary AI Score: 90/100. Awaiting mentor sign-off.</t>
        </is>
      </c>
      <c r="V2" s="2" t="n">
        <v>100</v>
      </c>
      <c r="W2" s="2" t="inlineStr">
        <is>
          <t>Completed</t>
        </is>
      </c>
      <c r="X2" s="2" t="inlineStr">
        <is>
          <t>Sent</t>
        </is>
      </c>
      <c r="Y2" s="2" t="inlineStr">
        <is>
          <t>2026-10-26 12:40:49</t>
        </is>
      </c>
      <c r="Z2" s="2" t="inlineStr">
        <is>
          <t>Internship successfully completed with Honors. Ready for certificate issuance.</t>
        </is>
      </c>
    </row>
    <row r="3">
      <c r="A3" s="3" t="inlineStr">
        <is>
          <t>STU-002</t>
        </is>
      </c>
      <c r="B3" s="3" t="inlineStr">
        <is>
          <t>Aditi Rodriguez</t>
        </is>
      </c>
      <c r="C3" s="3" t="inlineStr">
        <is>
          <t>student002@example-interns.edu</t>
        </is>
      </c>
      <c r="D3" s="3" t="inlineStr">
        <is>
          <t>2026-09-03</t>
        </is>
      </c>
      <c r="E3" s="3" t="inlineStr">
        <is>
          <t>2026-12-03</t>
        </is>
      </c>
      <c r="F3" s="3" t="inlineStr">
        <is>
          <t>Full Stack Web Developer</t>
        </is>
      </c>
      <c r="G3" s="3" t="inlineStr">
        <is>
          <t>Prof. Elena Rostova</t>
        </is>
      </c>
      <c r="H3" s="3" t="inlineStr">
        <is>
          <t>elena.rostova@mentor-labs.org</t>
        </is>
      </c>
      <c r="I3" s="3" t="inlineStr">
        <is>
          <t>TASK-FSWD-202</t>
        </is>
      </c>
      <c r="J3" s="3" t="inlineStr">
        <is>
          <t>Real-Time Collaboration Kanban Board with WebSockets</t>
        </is>
      </c>
      <c r="K3" s="3" t="inlineStr">
        <is>
          <t>Develop a multi-tenant Kanban board application where updates to columns, cards, and drag-and-drop actions are synchronized in real-time across connected browser clients using WebSockets.</t>
        </is>
      </c>
      <c r="L3" s="3" t="inlineStr">
        <is>
          <t>2026-09-05</t>
        </is>
      </c>
      <c r="M3" s="3" t="inlineStr">
        <is>
          <t>2026-09-15</t>
        </is>
      </c>
      <c r="N3" s="3" t="inlineStr">
        <is>
          <t>Completed</t>
        </is>
      </c>
      <c r="O3" s="3" t="n">
        <v>2</v>
      </c>
      <c r="P3" s="3" t="inlineStr">
        <is>
          <t>2026-10-15</t>
        </is>
      </c>
      <c r="Q3" s="3" t="inlineStr"/>
      <c r="R3" s="3" t="inlineStr"/>
      <c r="S3" s="3" t="inlineStr">
        <is>
          <t>https://classroom.google.com/c/internship-full-stack-web-developer-2026</t>
        </is>
      </c>
      <c r="T3" s="3" t="inlineStr">
        <is>
          <t>https://classroom.google.com/c/submissions/stu-002_task-fswd-202</t>
        </is>
      </c>
      <c r="U3" s="3" t="inlineStr">
        <is>
          <t>Exceptional submission meeting all rubric specifications. Architecture, test coverage, and documentation were outstanding.</t>
        </is>
      </c>
      <c r="V3" s="3" t="n">
        <v>100</v>
      </c>
      <c r="W3" s="3" t="inlineStr">
        <is>
          <t>Completed</t>
        </is>
      </c>
      <c r="X3" s="3" t="inlineStr">
        <is>
          <t>Sent</t>
        </is>
      </c>
      <c r="Y3" s="3" t="inlineStr">
        <is>
          <t>2026-10-24 11:19</t>
        </is>
      </c>
      <c r="Z3" s="3" t="inlineStr">
        <is>
          <t>Internship successfully completed with Honors. Ready for certificate issuance.</t>
        </is>
      </c>
    </row>
    <row r="4">
      <c r="A4" s="2" t="inlineStr">
        <is>
          <t>STU-003</t>
        </is>
      </c>
      <c r="B4" s="2" t="inlineStr">
        <is>
          <t>Alexander Lopez</t>
        </is>
      </c>
      <c r="C4" s="2" t="inlineStr">
        <is>
          <t>student003@example-interns.edu</t>
        </is>
      </c>
      <c r="D4" s="2" t="inlineStr">
        <is>
          <t>2026-09-04</t>
        </is>
      </c>
      <c r="E4" s="2" t="inlineStr">
        <is>
          <t>2026-12-04</t>
        </is>
      </c>
      <c r="F4" s="2" t="inlineStr">
        <is>
          <t>Data Analyst</t>
        </is>
      </c>
      <c r="G4" s="2" t="inlineStr">
        <is>
          <t>Sarah Jenkins</t>
        </is>
      </c>
      <c r="H4" s="2" t="inlineStr">
        <is>
          <t>sarah.jenkins@mentor-labs.org</t>
        </is>
      </c>
      <c r="I4" s="2" t="inlineStr">
        <is>
          <t>TASK-DATA-301</t>
        </is>
      </c>
      <c r="J4" s="2" t="inlineStr">
        <is>
          <t>Automated Multi-Source Retail Sales ETL &amp; KPI Dashboard</t>
        </is>
      </c>
      <c r="K4" s="2" t="inlineStr">
        <is>
          <t>Extract raw CSV and JSON transaction logs, clean nulls/outliers in Pandas, load into a star-schema database, and construct an interactive dashboard featuring MoM growth, cohort retention, and customer lifetime value.</t>
        </is>
      </c>
      <c r="L4" s="2" t="inlineStr">
        <is>
          <t>2026-09-06</t>
        </is>
      </c>
      <c r="M4" s="2" t="inlineStr">
        <is>
          <t>2026-09-14</t>
        </is>
      </c>
      <c r="N4" s="2" t="inlineStr">
        <is>
          <t>Completed</t>
        </is>
      </c>
      <c r="O4" s="2" t="n">
        <v>2</v>
      </c>
      <c r="P4" s="2" t="inlineStr">
        <is>
          <t>2026-10-15</t>
        </is>
      </c>
      <c r="Q4" s="2" t="inlineStr"/>
      <c r="R4" s="2" t="inlineStr"/>
      <c r="S4" s="2" t="inlineStr">
        <is>
          <t>https://classroom.google.com/c/internship-data-analyst-2026</t>
        </is>
      </c>
      <c r="T4" s="2" t="inlineStr">
        <is>
          <t>https://classroom.google.com/c/submissions/stu-003_task-data-301</t>
        </is>
      </c>
      <c r="U4" s="2" t="inlineStr">
        <is>
          <t>Exceptional submission meeting all rubric specifications. Architecture, test coverage, and documentation were outstanding.</t>
        </is>
      </c>
      <c r="V4" s="2" t="n">
        <v>100</v>
      </c>
      <c r="W4" s="2" t="inlineStr">
        <is>
          <t>Completed</t>
        </is>
      </c>
      <c r="X4" s="2" t="inlineStr">
        <is>
          <t>Sent</t>
        </is>
      </c>
      <c r="Y4" s="2" t="inlineStr">
        <is>
          <t>2026-10-23 11:19</t>
        </is>
      </c>
      <c r="Z4" s="2" t="inlineStr">
        <is>
          <t>Internship successfully completed with Honors. Ready for certificate issuance.</t>
        </is>
      </c>
    </row>
    <row r="5">
      <c r="A5" s="3" t="inlineStr">
        <is>
          <t>STU-004</t>
        </is>
      </c>
      <c r="B5" s="3" t="inlineStr">
        <is>
          <t>Amara Anderson</t>
        </is>
      </c>
      <c r="C5" s="3" t="inlineStr">
        <is>
          <t>student004@example-interns.edu</t>
        </is>
      </c>
      <c r="D5" s="3" t="inlineStr">
        <is>
          <t>2026-09-05</t>
        </is>
      </c>
      <c r="E5" s="3" t="inlineStr">
        <is>
          <t>2026-12-05</t>
        </is>
      </c>
      <c r="F5" s="3" t="inlineStr">
        <is>
          <t>Cloud &amp; DevOps Engineer</t>
        </is>
      </c>
      <c r="G5" s="3" t="inlineStr">
        <is>
          <t>Rajiv Mehta</t>
        </is>
      </c>
      <c r="H5" s="3" t="inlineStr">
        <is>
          <t>rajiv.mehta@mentor-labs.org</t>
        </is>
      </c>
      <c r="I5" s="3" t="inlineStr">
        <is>
          <t>TASK-DEVO-402</t>
        </is>
      </c>
      <c r="J5" s="3" t="inlineStr">
        <is>
          <t>Kubernetes Microservices Observability with Prometheus &amp; Grafana</t>
        </is>
      </c>
      <c r="K5" s="3" t="inlineStr">
        <is>
          <t>Deploy a 3-tier microservice onto Kubernetes (Minikube / k3s). Implement metric scraping with Prometheus, custom application dashboards in Grafana, and Slack/email Alertmanager rules for pod crash and latency spikes.</t>
        </is>
      </c>
      <c r="L5" s="3" t="inlineStr">
        <is>
          <t>2026-09-07</t>
        </is>
      </c>
      <c r="M5" s="3" t="inlineStr">
        <is>
          <t>2026-09-18</t>
        </is>
      </c>
      <c r="N5" s="3" t="inlineStr">
        <is>
          <t>Completed</t>
        </is>
      </c>
      <c r="O5" s="3" t="n">
        <v>2</v>
      </c>
      <c r="P5" s="3" t="inlineStr">
        <is>
          <t>2026-10-15</t>
        </is>
      </c>
      <c r="Q5" s="3" t="inlineStr"/>
      <c r="R5" s="3" t="inlineStr"/>
      <c r="S5" s="3" t="inlineStr">
        <is>
          <t>https://classroom.google.com/c/internship-cloud-&amp;-devops-engineer-2026</t>
        </is>
      </c>
      <c r="T5" s="3" t="inlineStr">
        <is>
          <t>https://classroom.google.com/c/submissions/stu-004_task-devo-402</t>
        </is>
      </c>
      <c r="U5" s="3" t="inlineStr">
        <is>
          <t>Exceptional submission meeting all rubric specifications. Architecture, test coverage, and documentation were outstanding.</t>
        </is>
      </c>
      <c r="V5" s="3" t="n">
        <v>100</v>
      </c>
      <c r="W5" s="3" t="inlineStr">
        <is>
          <t>Completed</t>
        </is>
      </c>
      <c r="X5" s="3" t="inlineStr">
        <is>
          <t>Sent</t>
        </is>
      </c>
      <c r="Y5" s="3" t="inlineStr">
        <is>
          <t>2026-10-22 11:19</t>
        </is>
      </c>
      <c r="Z5" s="3" t="inlineStr">
        <is>
          <t>Internship successfully completed with Honors. Ready for certificate issuance.</t>
        </is>
      </c>
    </row>
    <row r="6">
      <c r="A6" s="2" t="inlineStr">
        <is>
          <t>STU-005</t>
        </is>
      </c>
      <c r="B6" s="2" t="inlineStr">
        <is>
          <t>Carlos Moore</t>
        </is>
      </c>
      <c r="C6" s="2" t="inlineStr">
        <is>
          <t>student005@example-interns.edu</t>
        </is>
      </c>
      <c r="D6" s="2" t="inlineStr">
        <is>
          <t>2026-09-06</t>
        </is>
      </c>
      <c r="E6" s="2" t="inlineStr">
        <is>
          <t>2026-12-06</t>
        </is>
      </c>
      <c r="F6" s="2" t="inlineStr">
        <is>
          <t>Mobile App Developer</t>
        </is>
      </c>
      <c r="G6" s="2" t="inlineStr">
        <is>
          <t>Marcus Chen</t>
        </is>
      </c>
      <c r="H6" s="2" t="inlineStr">
        <is>
          <t>marcus.chen@mentor-labs.org</t>
        </is>
      </c>
      <c r="I6" s="2" t="inlineStr">
        <is>
          <t>TASK-MOBL-501</t>
        </is>
      </c>
      <c r="J6" s="2" t="inlineStr">
        <is>
          <t>Cross-Platform Habit Tracker with Offline SQLite &amp; Push Alerts</t>
        </is>
      </c>
      <c r="K6" s="2" t="inlineStr">
        <is>
          <t>Build a cross-platform mobile application (React Native or Flutter) that allows users to track daily habits, streaks, and completion analytics. Implement local SQLite persistence with background push notification reminders.</t>
        </is>
      </c>
      <c r="L6" s="2" t="inlineStr">
        <is>
          <t>2026-09-08</t>
        </is>
      </c>
      <c r="M6" s="2" t="inlineStr">
        <is>
          <t>2026-09-18</t>
        </is>
      </c>
      <c r="N6" s="2" t="inlineStr">
        <is>
          <t>Completed</t>
        </is>
      </c>
      <c r="O6" s="2" t="n">
        <v>2</v>
      </c>
      <c r="P6" s="2" t="inlineStr">
        <is>
          <t>2026-10-15</t>
        </is>
      </c>
      <c r="Q6" s="2" t="inlineStr"/>
      <c r="R6" s="2" t="inlineStr"/>
      <c r="S6" s="2" t="inlineStr">
        <is>
          <t>https://classroom.google.com/c/internship-mobile-app-developer-2026</t>
        </is>
      </c>
      <c r="T6" s="2" t="inlineStr">
        <is>
          <t>https://classroom.google.com/c/submissions/stu-005_task-mobl-501</t>
        </is>
      </c>
      <c r="U6" s="2" t="inlineStr">
        <is>
          <t>Exceptional submission meeting all rubric specifications. Architecture, test coverage, and documentation were outstanding.</t>
        </is>
      </c>
      <c r="V6" s="2" t="n">
        <v>100</v>
      </c>
      <c r="W6" s="2" t="inlineStr">
        <is>
          <t>Completed</t>
        </is>
      </c>
      <c r="X6" s="2" t="inlineStr">
        <is>
          <t>Sent</t>
        </is>
      </c>
      <c r="Y6" s="2" t="inlineStr">
        <is>
          <t>2026-10-21 11:19</t>
        </is>
      </c>
      <c r="Z6" s="2" t="inlineStr">
        <is>
          <t>Internship successfully completed with Honors. Ready for certificate issuance.</t>
        </is>
      </c>
    </row>
    <row r="7">
      <c r="A7" s="3" t="inlineStr">
        <is>
          <t>STU-006</t>
        </is>
      </c>
      <c r="B7" s="3" t="inlineStr">
        <is>
          <t>Chloe Lee</t>
        </is>
      </c>
      <c r="C7" s="3" t="inlineStr">
        <is>
          <t>student006@example-interns.edu</t>
        </is>
      </c>
      <c r="D7" s="3" t="inlineStr">
        <is>
          <t>2026-09-07</t>
        </is>
      </c>
      <c r="E7" s="3" t="inlineStr">
        <is>
          <t>2026-12-07</t>
        </is>
      </c>
      <c r="F7" s="3" t="inlineStr">
        <is>
          <t>Cybersecurity Specialist</t>
        </is>
      </c>
      <c r="G7" s="3" t="inlineStr">
        <is>
          <t>Nadia Al-Mansoor</t>
        </is>
      </c>
      <c r="H7" s="3" t="inlineStr">
        <is>
          <t>nadia.mansoor@mentor-labs.org</t>
        </is>
      </c>
      <c r="I7" s="3" t="inlineStr">
        <is>
          <t>TASK-CYBR-602</t>
        </is>
      </c>
      <c r="J7" s="3" t="inlineStr">
        <is>
          <t>SOC Intrusion Detection &amp; SIEM Log Correlation Engine</t>
        </is>
      </c>
      <c r="K7" s="3" t="inlineStr">
        <is>
          <t>Construct an automated log correlation parser that ingests syslog and web access logs, detects brute-force authentication attacks and lateral movement patterns, and generates automated incident response tickets.</t>
        </is>
      </c>
      <c r="L7" s="3" t="inlineStr">
        <is>
          <t>2026-09-09</t>
        </is>
      </c>
      <c r="M7" s="3" t="inlineStr">
        <is>
          <t>2026-09-19</t>
        </is>
      </c>
      <c r="N7" s="3" t="inlineStr">
        <is>
          <t>Completed</t>
        </is>
      </c>
      <c r="O7" s="3" t="n">
        <v>2</v>
      </c>
      <c r="P7" s="3" t="inlineStr">
        <is>
          <t>2026-10-15</t>
        </is>
      </c>
      <c r="Q7" s="3" t="inlineStr"/>
      <c r="R7" s="3" t="inlineStr"/>
      <c r="S7" s="3" t="inlineStr">
        <is>
          <t>https://classroom.google.com/c/internship-cybersecurity-specialist-2026</t>
        </is>
      </c>
      <c r="T7" s="3" t="inlineStr">
        <is>
          <t>https://classroom.google.com/c/submissions/stu-006_task-cybr-602</t>
        </is>
      </c>
      <c r="U7" s="3" t="inlineStr">
        <is>
          <t>Exceptional submission meeting all rubric specifications. Architecture, test coverage, and documentation were outstanding.</t>
        </is>
      </c>
      <c r="V7" s="3" t="n">
        <v>100</v>
      </c>
      <c r="W7" s="3" t="inlineStr">
        <is>
          <t>Completed</t>
        </is>
      </c>
      <c r="X7" s="3" t="inlineStr">
        <is>
          <t>Sent</t>
        </is>
      </c>
      <c r="Y7" s="3" t="inlineStr">
        <is>
          <t>2026-10-20 11:19</t>
        </is>
      </c>
      <c r="Z7" s="3" t="inlineStr">
        <is>
          <t>Internship successfully completed with Honors. Ready for certificate issuance.</t>
        </is>
      </c>
    </row>
    <row r="8">
      <c r="A8" s="2" t="inlineStr">
        <is>
          <t>STU-007</t>
        </is>
      </c>
      <c r="B8" s="2" t="inlineStr">
        <is>
          <t>David White</t>
        </is>
      </c>
      <c r="C8" s="2" t="inlineStr">
        <is>
          <t>student007@example-interns.edu</t>
        </is>
      </c>
      <c r="D8" s="2" t="inlineStr">
        <is>
          <t>2026-09-08</t>
        </is>
      </c>
      <c r="E8" s="2" t="inlineStr">
        <is>
          <t>2026-12-08</t>
        </is>
      </c>
      <c r="F8" s="2" t="inlineStr">
        <is>
          <t>AI/ML Engineer</t>
        </is>
      </c>
      <c r="G8" s="2" t="inlineStr">
        <is>
          <t>Dr. Aris Thorne</t>
        </is>
      </c>
      <c r="H8" s="2" t="inlineStr">
        <is>
          <t>aris.thorne@mentor-labs.org</t>
        </is>
      </c>
      <c r="I8" s="2" t="inlineStr">
        <is>
          <t>TASK-AIML-101</t>
        </is>
      </c>
      <c r="J8" s="2" t="inlineStr">
        <is>
          <t>Customer Churn Prediction Pipeline with Scikit-Learn &amp; FastAPI</t>
        </is>
      </c>
      <c r="K8" s="2" t="inlineStr">
        <is>
          <t>Build an end-to-end churn prediction model on telecom customer data. Preprocess tabular data, train Random Forest / XGBoost, evaluate ROC-AUC, and expose inference via a FastAPI REST endpoint with Dockerfile.</t>
        </is>
      </c>
      <c r="L8" s="2" t="inlineStr">
        <is>
          <t>2026-09-10</t>
        </is>
      </c>
      <c r="M8" s="2" t="inlineStr">
        <is>
          <t>2026-09-20</t>
        </is>
      </c>
      <c r="N8" s="2" t="inlineStr">
        <is>
          <t>Completed</t>
        </is>
      </c>
      <c r="O8" s="2" t="n">
        <v>2</v>
      </c>
      <c r="P8" s="2" t="inlineStr">
        <is>
          <t>2026-10-15</t>
        </is>
      </c>
      <c r="Q8" s="2" t="inlineStr"/>
      <c r="R8" s="2" t="inlineStr"/>
      <c r="S8" s="2" t="inlineStr">
        <is>
          <t>https://classroom.google.com/c/internship-ai-ml-engineer-2026</t>
        </is>
      </c>
      <c r="T8" s="2" t="inlineStr">
        <is>
          <t>https://classroom.google.com/c/submissions/stu-007_task-aiml-101</t>
        </is>
      </c>
      <c r="U8" s="2" t="inlineStr">
        <is>
          <t>Exceptional submission meeting all rubric specifications. Architecture, test coverage, and documentation were outstanding.</t>
        </is>
      </c>
      <c r="V8" s="2" t="n">
        <v>100</v>
      </c>
      <c r="W8" s="2" t="inlineStr">
        <is>
          <t>Completed</t>
        </is>
      </c>
      <c r="X8" s="2" t="inlineStr">
        <is>
          <t>Sent</t>
        </is>
      </c>
      <c r="Y8" s="2" t="inlineStr">
        <is>
          <t>2026-10-26 11:19</t>
        </is>
      </c>
      <c r="Z8" s="2" t="inlineStr">
        <is>
          <t>Internship successfully completed with Honors. Ready for certificate issuance.</t>
        </is>
      </c>
    </row>
    <row r="9">
      <c r="A9" s="3" t="inlineStr">
        <is>
          <t>STU-008</t>
        </is>
      </c>
      <c r="B9" s="3" t="inlineStr">
        <is>
          <t>Divya Clark</t>
        </is>
      </c>
      <c r="C9" s="3" t="inlineStr">
        <is>
          <t>student008@example-interns.edu</t>
        </is>
      </c>
      <c r="D9" s="3" t="inlineStr">
        <is>
          <t>2026-09-09</t>
        </is>
      </c>
      <c r="E9" s="3" t="inlineStr">
        <is>
          <t>2026-12-09</t>
        </is>
      </c>
      <c r="F9" s="3" t="inlineStr">
        <is>
          <t>Full Stack Web Developer</t>
        </is>
      </c>
      <c r="G9" s="3" t="inlineStr">
        <is>
          <t>Prof. Elena Rostova</t>
        </is>
      </c>
      <c r="H9" s="3" t="inlineStr">
        <is>
          <t>elena.rostova@mentor-labs.org</t>
        </is>
      </c>
      <c r="I9" s="3" t="inlineStr">
        <is>
          <t>TASK-FSWD-202</t>
        </is>
      </c>
      <c r="J9" s="3" t="inlineStr">
        <is>
          <t>Real-Time Collaboration Kanban Board with WebSockets</t>
        </is>
      </c>
      <c r="K9" s="3" t="inlineStr">
        <is>
          <t>Develop a multi-tenant Kanban board application where updates to columns, cards, and drag-and-drop actions are synchronized in real-time across connected browser clients using WebSockets.</t>
        </is>
      </c>
      <c r="L9" s="3" t="inlineStr">
        <is>
          <t>2026-09-11</t>
        </is>
      </c>
      <c r="M9" s="3" t="inlineStr">
        <is>
          <t>2026-09-21</t>
        </is>
      </c>
      <c r="N9" s="3" t="inlineStr">
        <is>
          <t>Completed</t>
        </is>
      </c>
      <c r="O9" s="3" t="n">
        <v>2</v>
      </c>
      <c r="P9" s="3" t="inlineStr">
        <is>
          <t>2026-10-15</t>
        </is>
      </c>
      <c r="Q9" s="3" t="inlineStr"/>
      <c r="R9" s="3" t="inlineStr"/>
      <c r="S9" s="3" t="inlineStr">
        <is>
          <t>https://classroom.google.com/c/internship-full-stack-web-developer-2026</t>
        </is>
      </c>
      <c r="T9" s="3" t="inlineStr">
        <is>
          <t>https://classroom.google.com/c/submissions/stu-008_task-fswd-202</t>
        </is>
      </c>
      <c r="U9" s="3" t="inlineStr">
        <is>
          <t>Exceptional submission meeting all rubric specifications. Architecture, test coverage, and documentation were outstanding.</t>
        </is>
      </c>
      <c r="V9" s="3" t="n">
        <v>100</v>
      </c>
      <c r="W9" s="3" t="inlineStr">
        <is>
          <t>Completed</t>
        </is>
      </c>
      <c r="X9" s="3" t="inlineStr">
        <is>
          <t>Sent</t>
        </is>
      </c>
      <c r="Y9" s="3" t="inlineStr">
        <is>
          <t>2026-10-25 11:19</t>
        </is>
      </c>
      <c r="Z9" s="3" t="inlineStr">
        <is>
          <t>Internship successfully completed with Honors. Ready for certificate issuance.</t>
        </is>
      </c>
    </row>
    <row r="10">
      <c r="A10" s="2" t="inlineStr">
        <is>
          <t>STU-009</t>
        </is>
      </c>
      <c r="B10" s="2" t="inlineStr">
        <is>
          <t>Ethan Robinson</t>
        </is>
      </c>
      <c r="C10" s="2" t="inlineStr">
        <is>
          <t>student009@example-interns.edu</t>
        </is>
      </c>
      <c r="D10" s="2" t="inlineStr">
        <is>
          <t>2026-09-10</t>
        </is>
      </c>
      <c r="E10" s="2" t="inlineStr">
        <is>
          <t>2026-12-10</t>
        </is>
      </c>
      <c r="F10" s="2" t="inlineStr">
        <is>
          <t>Data Analyst</t>
        </is>
      </c>
      <c r="G10" s="2" t="inlineStr">
        <is>
          <t>Sarah Jenkins</t>
        </is>
      </c>
      <c r="H10" s="2" t="inlineStr">
        <is>
          <t>sarah.jenkins@mentor-labs.org</t>
        </is>
      </c>
      <c r="I10" s="2" t="inlineStr">
        <is>
          <t>TASK-DATA-301</t>
        </is>
      </c>
      <c r="J10" s="2" t="inlineStr">
        <is>
          <t>Automated Multi-Source Retail Sales ETL &amp; KPI Dashboard</t>
        </is>
      </c>
      <c r="K10" s="2" t="inlineStr">
        <is>
          <t>Extract raw CSV and JSON transaction logs, clean nulls/outliers in Pandas, load into a star-schema database, and construct an interactive dashboard featuring MoM growth, cohort retention, and customer lifetime value.</t>
        </is>
      </c>
      <c r="L10" s="2" t="inlineStr">
        <is>
          <t>2026-09-12</t>
        </is>
      </c>
      <c r="M10" s="2" t="inlineStr">
        <is>
          <t>2026-09-20</t>
        </is>
      </c>
      <c r="N10" s="2" t="inlineStr">
        <is>
          <t>Completed</t>
        </is>
      </c>
      <c r="O10" s="2" t="n">
        <v>2</v>
      </c>
      <c r="P10" s="2" t="inlineStr">
        <is>
          <t>2026-10-15</t>
        </is>
      </c>
      <c r="Q10" s="2" t="inlineStr"/>
      <c r="R10" s="2" t="inlineStr"/>
      <c r="S10" s="2" t="inlineStr">
        <is>
          <t>https://classroom.google.com/c/internship-data-analyst-2026</t>
        </is>
      </c>
      <c r="T10" s="2" t="inlineStr">
        <is>
          <t>https://classroom.google.com/c/submissions/stu-009_task-data-301</t>
        </is>
      </c>
      <c r="U10" s="2" t="inlineStr">
        <is>
          <t>Exceptional submission meeting all rubric specifications. Architecture, test coverage, and documentation were outstanding.</t>
        </is>
      </c>
      <c r="V10" s="2" t="n">
        <v>100</v>
      </c>
      <c r="W10" s="2" t="inlineStr">
        <is>
          <t>Completed</t>
        </is>
      </c>
      <c r="X10" s="2" t="inlineStr">
        <is>
          <t>Sent</t>
        </is>
      </c>
      <c r="Y10" s="2" t="inlineStr">
        <is>
          <t>2026-10-24 11:19</t>
        </is>
      </c>
      <c r="Z10" s="2" t="inlineStr">
        <is>
          <t>Internship successfully completed with Honors. Ready for certificate issuance.</t>
        </is>
      </c>
    </row>
    <row r="11">
      <c r="A11" s="3" t="inlineStr">
        <is>
          <t>STU-010</t>
        </is>
      </c>
      <c r="B11" s="3" t="inlineStr">
        <is>
          <t>Fatima Allen</t>
        </is>
      </c>
      <c r="C11" s="3" t="inlineStr">
        <is>
          <t>student010@example-interns.edu</t>
        </is>
      </c>
      <c r="D11" s="3" t="inlineStr">
        <is>
          <t>2026-09-11</t>
        </is>
      </c>
      <c r="E11" s="3" t="inlineStr">
        <is>
          <t>2026-12-11</t>
        </is>
      </c>
      <c r="F11" s="3" t="inlineStr">
        <is>
          <t>Cloud &amp; DevOps Engineer</t>
        </is>
      </c>
      <c r="G11" s="3" t="inlineStr">
        <is>
          <t>Rajiv Mehta</t>
        </is>
      </c>
      <c r="H11" s="3" t="inlineStr">
        <is>
          <t>rajiv.mehta@mentor-labs.org</t>
        </is>
      </c>
      <c r="I11" s="3" t="inlineStr">
        <is>
          <t>TASK-DEVO-402</t>
        </is>
      </c>
      <c r="J11" s="3" t="inlineStr">
        <is>
          <t>Kubernetes Microservices Observability with Prometheus &amp; Grafana</t>
        </is>
      </c>
      <c r="K11" s="3" t="inlineStr">
        <is>
          <t>Deploy a 3-tier microservice onto Kubernetes (Minikube / k3s). Implement metric scraping with Prometheus, custom application dashboards in Grafana, and Slack/email Alertmanager rules for pod crash and latency spikes.</t>
        </is>
      </c>
      <c r="L11" s="3" t="inlineStr">
        <is>
          <t>2026-09-03</t>
        </is>
      </c>
      <c r="M11" s="3" t="inlineStr">
        <is>
          <t>2026-09-14</t>
        </is>
      </c>
      <c r="N11" s="3" t="inlineStr">
        <is>
          <t>Completed</t>
        </is>
      </c>
      <c r="O11" s="3" t="n">
        <v>2</v>
      </c>
      <c r="P11" s="3" t="inlineStr">
        <is>
          <t>2026-10-15</t>
        </is>
      </c>
      <c r="Q11" s="3" t="inlineStr"/>
      <c r="R11" s="3" t="inlineStr"/>
      <c r="S11" s="3" t="inlineStr">
        <is>
          <t>https://classroom.google.com/c/internship-cloud-&amp;-devops-engineer-2026</t>
        </is>
      </c>
      <c r="T11" s="3" t="inlineStr">
        <is>
          <t>https://classroom.google.com/c/submissions/stu-010_task-devo-402</t>
        </is>
      </c>
      <c r="U11" s="3" t="inlineStr">
        <is>
          <t>Exceptional submission meeting all rubric specifications. Architecture, test coverage, and documentation were outstanding.</t>
        </is>
      </c>
      <c r="V11" s="3" t="n">
        <v>100</v>
      </c>
      <c r="W11" s="3" t="inlineStr">
        <is>
          <t>Completed</t>
        </is>
      </c>
      <c r="X11" s="3" t="inlineStr">
        <is>
          <t>Sent</t>
        </is>
      </c>
      <c r="Y11" s="3" t="inlineStr">
        <is>
          <t>2026-10-23 11:19</t>
        </is>
      </c>
      <c r="Z11" s="3" t="inlineStr">
        <is>
          <t>Internship successfully completed with Honors. Ready for certificate issuance.</t>
        </is>
      </c>
    </row>
    <row r="12">
      <c r="A12" s="2" t="inlineStr">
        <is>
          <t>STU-011</t>
        </is>
      </c>
      <c r="B12" s="2" t="inlineStr">
        <is>
          <t>Gabriel Scott</t>
        </is>
      </c>
      <c r="C12" s="2" t="inlineStr">
        <is>
          <t>student011@example-interns.edu</t>
        </is>
      </c>
      <c r="D12" s="2" t="inlineStr">
        <is>
          <t>2026-09-12</t>
        </is>
      </c>
      <c r="E12" s="2" t="inlineStr">
        <is>
          <t>2026-12-12</t>
        </is>
      </c>
      <c r="F12" s="2" t="inlineStr">
        <is>
          <t>Mobile App Developer</t>
        </is>
      </c>
      <c r="G12" s="2" t="inlineStr">
        <is>
          <t>Marcus Chen</t>
        </is>
      </c>
      <c r="H12" s="2" t="inlineStr">
        <is>
          <t>marcus.chen@mentor-labs.org</t>
        </is>
      </c>
      <c r="I12" s="2" t="inlineStr">
        <is>
          <t>TASK-MOBL-501</t>
        </is>
      </c>
      <c r="J12" s="2" t="inlineStr">
        <is>
          <t>Cross-Platform Habit Tracker with Offline SQLite &amp; Push Alerts</t>
        </is>
      </c>
      <c r="K12" s="2" t="inlineStr">
        <is>
          <t>Build a cross-platform mobile application (React Native or Flutter) that allows users to track daily habits, streaks, and completion analytics. Implement local SQLite persistence with background push notification reminders.</t>
        </is>
      </c>
      <c r="L12" s="2" t="inlineStr">
        <is>
          <t>2026-09-04</t>
        </is>
      </c>
      <c r="M12" s="2" t="inlineStr">
        <is>
          <t>2026-09-14</t>
        </is>
      </c>
      <c r="N12" s="2" t="inlineStr">
        <is>
          <t>Approved</t>
        </is>
      </c>
      <c r="O12" s="2" t="n">
        <v>2</v>
      </c>
      <c r="P12" s="2" t="inlineStr">
        <is>
          <t>2026-10-20</t>
        </is>
      </c>
      <c r="Q12" s="2" t="inlineStr">
        <is>
          <t>2026-11-05</t>
        </is>
      </c>
      <c r="R12" s="2" t="inlineStr">
        <is>
          <t>14:00</t>
        </is>
      </c>
      <c r="S12" s="2" t="inlineStr">
        <is>
          <t>https://classroom.google.com/c/internship-mobile-app-developer-2026</t>
        </is>
      </c>
      <c r="T12" s="2" t="inlineStr">
        <is>
          <t>https://classroom.google.com/c/submissions/stu-011_task-mobl-501</t>
        </is>
      </c>
      <c r="U12" s="2" t="inlineStr">
        <is>
          <t>Core criteria approved. Minor optimization tips noted. Proceed to final capstone integration.</t>
        </is>
      </c>
      <c r="V12" s="2" t="n">
        <v>75</v>
      </c>
      <c r="W12" s="2" t="inlineStr">
        <is>
          <t>In Progress</t>
        </is>
      </c>
      <c r="X12" s="2" t="inlineStr">
        <is>
          <t>Sent</t>
        </is>
      </c>
      <c r="Y12" s="2" t="inlineStr">
        <is>
          <t>2026-10-22 11:19</t>
        </is>
      </c>
      <c r="Z12" s="2" t="inlineStr">
        <is>
          <t>Primary task approved. Capstone briefing scheduled.</t>
        </is>
      </c>
    </row>
    <row r="13">
      <c r="A13" s="3" t="inlineStr">
        <is>
          <t>STU-012</t>
        </is>
      </c>
      <c r="B13" s="3" t="inlineStr">
        <is>
          <t>Grace Hill</t>
        </is>
      </c>
      <c r="C13" s="3" t="inlineStr">
        <is>
          <t>student012@example-interns.edu</t>
        </is>
      </c>
      <c r="D13" s="3" t="inlineStr">
        <is>
          <t>2026-09-13</t>
        </is>
      </c>
      <c r="E13" s="3" t="inlineStr">
        <is>
          <t>2026-12-13</t>
        </is>
      </c>
      <c r="F13" s="3" t="inlineStr">
        <is>
          <t>Cybersecurity Specialist</t>
        </is>
      </c>
      <c r="G13" s="3" t="inlineStr">
        <is>
          <t>Nadia Al-Mansoor</t>
        </is>
      </c>
      <c r="H13" s="3" t="inlineStr">
        <is>
          <t>nadia.mansoor@mentor-labs.org</t>
        </is>
      </c>
      <c r="I13" s="3" t="inlineStr">
        <is>
          <t>TASK-CYBR-602</t>
        </is>
      </c>
      <c r="J13" s="3" t="inlineStr">
        <is>
          <t>SOC Intrusion Detection &amp; SIEM Log Correlation Engine</t>
        </is>
      </c>
      <c r="K13" s="3" t="inlineStr">
        <is>
          <t>Construct an automated log correlation parser that ingests syslog and web access logs, detects brute-force authentication attacks and lateral movement patterns, and generates automated incident response tickets.</t>
        </is>
      </c>
      <c r="L13" s="3" t="inlineStr">
        <is>
          <t>2026-09-05</t>
        </is>
      </c>
      <c r="M13" s="3" t="inlineStr">
        <is>
          <t>2026-09-15</t>
        </is>
      </c>
      <c r="N13" s="3" t="inlineStr">
        <is>
          <t>Approved</t>
        </is>
      </c>
      <c r="O13" s="3" t="n">
        <v>2</v>
      </c>
      <c r="P13" s="3" t="inlineStr">
        <is>
          <t>2026-10-20</t>
        </is>
      </c>
      <c r="Q13" s="3" t="inlineStr">
        <is>
          <t>2026-11-05</t>
        </is>
      </c>
      <c r="R13" s="3" t="inlineStr">
        <is>
          <t>14:00</t>
        </is>
      </c>
      <c r="S13" s="3" t="inlineStr">
        <is>
          <t>https://classroom.google.com/c/internship-cybersecurity-specialist-2026</t>
        </is>
      </c>
      <c r="T13" s="3" t="inlineStr">
        <is>
          <t>https://classroom.google.com/c/submissions/stu-012_task-cybr-602</t>
        </is>
      </c>
      <c r="U13" s="3" t="inlineStr">
        <is>
          <t>Core criteria approved. Minor optimization tips noted. Proceed to final capstone integration.</t>
        </is>
      </c>
      <c r="V13" s="3" t="n">
        <v>75</v>
      </c>
      <c r="W13" s="3" t="inlineStr">
        <is>
          <t>In Progress</t>
        </is>
      </c>
      <c r="X13" s="3" t="inlineStr">
        <is>
          <t>Sent</t>
        </is>
      </c>
      <c r="Y13" s="3" t="inlineStr">
        <is>
          <t>2026-10-21 11:19</t>
        </is>
      </c>
      <c r="Z13" s="3" t="inlineStr">
        <is>
          <t>Primary task approved. Capstone briefing scheduled.</t>
        </is>
      </c>
    </row>
    <row r="14">
      <c r="A14" s="2" t="inlineStr">
        <is>
          <t>STU-013</t>
        </is>
      </c>
      <c r="B14" s="2" t="inlineStr">
        <is>
          <t>Hassan Adams</t>
        </is>
      </c>
      <c r="C14" s="2" t="inlineStr">
        <is>
          <t>student013@example-interns.edu</t>
        </is>
      </c>
      <c r="D14" s="2" t="inlineStr">
        <is>
          <t>2026-09-14</t>
        </is>
      </c>
      <c r="E14" s="2" t="inlineStr">
        <is>
          <t>2026-12-14</t>
        </is>
      </c>
      <c r="F14" s="2" t="inlineStr">
        <is>
          <t>AI/ML Engineer</t>
        </is>
      </c>
      <c r="G14" s="2" t="inlineStr">
        <is>
          <t>Dr. Aris Thorne</t>
        </is>
      </c>
      <c r="H14" s="2" t="inlineStr">
        <is>
          <t>aris.thorne@mentor-labs.org</t>
        </is>
      </c>
      <c r="I14" s="2" t="inlineStr">
        <is>
          <t>TASK-AIML-101</t>
        </is>
      </c>
      <c r="J14" s="2" t="inlineStr">
        <is>
          <t>Customer Churn Prediction Pipeline with Scikit-Learn &amp; FastAPI</t>
        </is>
      </c>
      <c r="K14" s="2" t="inlineStr">
        <is>
          <t>Build an end-to-end churn prediction model on telecom customer data. Preprocess tabular data, train Random Forest / XGBoost, evaluate ROC-AUC, and expose inference via a FastAPI REST endpoint with Dockerfile.</t>
        </is>
      </c>
      <c r="L14" s="2" t="inlineStr">
        <is>
          <t>2026-09-06</t>
        </is>
      </c>
      <c r="M14" s="2" t="inlineStr">
        <is>
          <t>2026-09-16</t>
        </is>
      </c>
      <c r="N14" s="2" t="inlineStr">
        <is>
          <t>Approved</t>
        </is>
      </c>
      <c r="O14" s="2" t="n">
        <v>2</v>
      </c>
      <c r="P14" s="2" t="inlineStr">
        <is>
          <t>2026-10-20</t>
        </is>
      </c>
      <c r="Q14" s="2" t="inlineStr">
        <is>
          <t>2026-11-05</t>
        </is>
      </c>
      <c r="R14" s="2" t="inlineStr">
        <is>
          <t>14:00</t>
        </is>
      </c>
      <c r="S14" s="2" t="inlineStr">
        <is>
          <t>https://classroom.google.com/c/internship-ai-ml-engineer-2026</t>
        </is>
      </c>
      <c r="T14" s="2" t="inlineStr">
        <is>
          <t>https://classroom.google.com/c/submissions/stu-013_task-aiml-101</t>
        </is>
      </c>
      <c r="U14" s="2" t="inlineStr">
        <is>
          <t>Core criteria approved. Minor optimization tips noted. Proceed to final capstone integration.</t>
        </is>
      </c>
      <c r="V14" s="2" t="n">
        <v>75</v>
      </c>
      <c r="W14" s="2" t="inlineStr">
        <is>
          <t>In Progress</t>
        </is>
      </c>
      <c r="X14" s="2" t="inlineStr">
        <is>
          <t>Sent</t>
        </is>
      </c>
      <c r="Y14" s="2" t="inlineStr">
        <is>
          <t>2026-10-20 11:19</t>
        </is>
      </c>
      <c r="Z14" s="2" t="inlineStr">
        <is>
          <t>Primary task approved. Capstone briefing scheduled.</t>
        </is>
      </c>
    </row>
    <row r="15">
      <c r="A15" s="3" t="inlineStr">
        <is>
          <t>STU-014</t>
        </is>
      </c>
      <c r="B15" s="3" t="inlineStr">
        <is>
          <t>Isabella Hall</t>
        </is>
      </c>
      <c r="C15" s="3" t="inlineStr">
        <is>
          <t>student014@example-interns.edu</t>
        </is>
      </c>
      <c r="D15" s="3" t="inlineStr">
        <is>
          <t>2026-09-15</t>
        </is>
      </c>
      <c r="E15" s="3" t="inlineStr">
        <is>
          <t>2026-12-15</t>
        </is>
      </c>
      <c r="F15" s="3" t="inlineStr">
        <is>
          <t>Full Stack Web Developer</t>
        </is>
      </c>
      <c r="G15" s="3" t="inlineStr">
        <is>
          <t>Prof. Elena Rostova</t>
        </is>
      </c>
      <c r="H15" s="3" t="inlineStr">
        <is>
          <t>elena.rostova@mentor-labs.org</t>
        </is>
      </c>
      <c r="I15" s="3" t="inlineStr">
        <is>
          <t>TASK-FSWD-202</t>
        </is>
      </c>
      <c r="J15" s="3" t="inlineStr">
        <is>
          <t>Real-Time Collaboration Kanban Board with WebSockets</t>
        </is>
      </c>
      <c r="K15" s="3" t="inlineStr">
        <is>
          <t>Develop a multi-tenant Kanban board application where updates to columns, cards, and drag-and-drop actions are synchronized in real-time across connected browser clients using WebSockets.</t>
        </is>
      </c>
      <c r="L15" s="3" t="inlineStr">
        <is>
          <t>2026-09-07</t>
        </is>
      </c>
      <c r="M15" s="3" t="inlineStr">
        <is>
          <t>2026-09-17</t>
        </is>
      </c>
      <c r="N15" s="3" t="inlineStr">
        <is>
          <t>Approved</t>
        </is>
      </c>
      <c r="O15" s="3" t="n">
        <v>2</v>
      </c>
      <c r="P15" s="3" t="inlineStr">
        <is>
          <t>2026-10-20</t>
        </is>
      </c>
      <c r="Q15" s="3" t="inlineStr">
        <is>
          <t>2026-11-05</t>
        </is>
      </c>
      <c r="R15" s="3" t="inlineStr">
        <is>
          <t>14:00</t>
        </is>
      </c>
      <c r="S15" s="3" t="inlineStr">
        <is>
          <t>https://classroom.google.com/c/internship-full-stack-web-developer-2026</t>
        </is>
      </c>
      <c r="T15" s="3" t="inlineStr">
        <is>
          <t>https://classroom.google.com/c/submissions/stu-014_task-fswd-202</t>
        </is>
      </c>
      <c r="U15" s="3" t="inlineStr">
        <is>
          <t>Core criteria approved. Minor optimization tips noted. Proceed to final capstone integration.</t>
        </is>
      </c>
      <c r="V15" s="3" t="n">
        <v>75</v>
      </c>
      <c r="W15" s="3" t="inlineStr">
        <is>
          <t>In Progress</t>
        </is>
      </c>
      <c r="X15" s="3" t="inlineStr">
        <is>
          <t>Sent</t>
        </is>
      </c>
      <c r="Y15" s="3" t="inlineStr">
        <is>
          <t>2026-10-26 11:19</t>
        </is>
      </c>
      <c r="Z15" s="3" t="inlineStr">
        <is>
          <t>Primary task approved. Capstone briefing scheduled.</t>
        </is>
      </c>
    </row>
    <row r="16">
      <c r="A16" s="2" t="inlineStr">
        <is>
          <t>STU-015</t>
        </is>
      </c>
      <c r="B16" s="2" t="inlineStr">
        <is>
          <t>James Mitchell</t>
        </is>
      </c>
      <c r="C16" s="2" t="inlineStr">
        <is>
          <t>student015@example-interns.edu</t>
        </is>
      </c>
      <c r="D16" s="2" t="inlineStr">
        <is>
          <t>2026-09-01</t>
        </is>
      </c>
      <c r="E16" s="2" t="inlineStr">
        <is>
          <t>2026-12-01</t>
        </is>
      </c>
      <c r="F16" s="2" t="inlineStr">
        <is>
          <t>Data Analyst</t>
        </is>
      </c>
      <c r="G16" s="2" t="inlineStr">
        <is>
          <t>Sarah Jenkins</t>
        </is>
      </c>
      <c r="H16" s="2" t="inlineStr">
        <is>
          <t>sarah.jenkins@mentor-labs.org</t>
        </is>
      </c>
      <c r="I16" s="2" t="inlineStr">
        <is>
          <t>TASK-DATA-301</t>
        </is>
      </c>
      <c r="J16" s="2" t="inlineStr">
        <is>
          <t>Automated Multi-Source Retail Sales ETL &amp; KPI Dashboard</t>
        </is>
      </c>
      <c r="K16" s="2" t="inlineStr">
        <is>
          <t>Extract raw CSV and JSON transaction logs, clean nulls/outliers in Pandas, load into a star-schema database, and construct an interactive dashboard featuring MoM growth, cohort retention, and customer lifetime value.</t>
        </is>
      </c>
      <c r="L16" s="2" t="inlineStr">
        <is>
          <t>2026-09-08</t>
        </is>
      </c>
      <c r="M16" s="2" t="inlineStr">
        <is>
          <t>2026-09-16</t>
        </is>
      </c>
      <c r="N16" s="2" t="inlineStr">
        <is>
          <t>Approved</t>
        </is>
      </c>
      <c r="O16" s="2" t="n">
        <v>2</v>
      </c>
      <c r="P16" s="2" t="inlineStr">
        <is>
          <t>2026-10-20</t>
        </is>
      </c>
      <c r="Q16" s="2" t="inlineStr">
        <is>
          <t>2026-11-05</t>
        </is>
      </c>
      <c r="R16" s="2" t="inlineStr">
        <is>
          <t>14:00</t>
        </is>
      </c>
      <c r="S16" s="2" t="inlineStr">
        <is>
          <t>https://classroom.google.com/c/internship-data-analyst-2026</t>
        </is>
      </c>
      <c r="T16" s="2" t="inlineStr">
        <is>
          <t>https://classroom.google.com/c/submissions/stu-015_task-data-301</t>
        </is>
      </c>
      <c r="U16" s="2" t="inlineStr">
        <is>
          <t>Core criteria approved. Minor optimization tips noted. Proceed to final capstone integration.</t>
        </is>
      </c>
      <c r="V16" s="2" t="n">
        <v>75</v>
      </c>
      <c r="W16" s="2" t="inlineStr">
        <is>
          <t>In Progress</t>
        </is>
      </c>
      <c r="X16" s="2" t="inlineStr">
        <is>
          <t>Sent</t>
        </is>
      </c>
      <c r="Y16" s="2" t="inlineStr">
        <is>
          <t>2026-10-25 11:19</t>
        </is>
      </c>
      <c r="Z16" s="2" t="inlineStr">
        <is>
          <t>Primary task approved. Capstone briefing scheduled.</t>
        </is>
      </c>
    </row>
    <row r="17">
      <c r="A17" s="3" t="inlineStr">
        <is>
          <t>STU-016</t>
        </is>
      </c>
      <c r="B17" s="3" t="inlineStr">
        <is>
          <t>Jia Smith</t>
        </is>
      </c>
      <c r="C17" s="3" t="inlineStr">
        <is>
          <t>student016@example-interns.edu</t>
        </is>
      </c>
      <c r="D17" s="3" t="inlineStr">
        <is>
          <t>2026-09-02</t>
        </is>
      </c>
      <c r="E17" s="3" t="inlineStr">
        <is>
          <t>2026-12-02</t>
        </is>
      </c>
      <c r="F17" s="3" t="inlineStr">
        <is>
          <t>Cloud &amp; DevOps Engineer</t>
        </is>
      </c>
      <c r="G17" s="3" t="inlineStr">
        <is>
          <t>Rajiv Mehta</t>
        </is>
      </c>
      <c r="H17" s="3" t="inlineStr">
        <is>
          <t>rajiv.mehta@mentor-labs.org</t>
        </is>
      </c>
      <c r="I17" s="3" t="inlineStr">
        <is>
          <t>TASK-DEVO-402</t>
        </is>
      </c>
      <c r="J17" s="3" t="inlineStr">
        <is>
          <t>Kubernetes Microservices Observability with Prometheus &amp; Grafana</t>
        </is>
      </c>
      <c r="K17" s="3" t="inlineStr">
        <is>
          <t>Deploy a 3-tier microservice onto Kubernetes (Minikube / k3s). Implement metric scraping with Prometheus, custom application dashboards in Grafana, and Slack/email Alertmanager rules for pod crash and latency spikes.</t>
        </is>
      </c>
      <c r="L17" s="3" t="inlineStr">
        <is>
          <t>2026-09-09</t>
        </is>
      </c>
      <c r="M17" s="3" t="inlineStr">
        <is>
          <t>2026-09-20</t>
        </is>
      </c>
      <c r="N17" s="3" t="inlineStr">
        <is>
          <t>Approved</t>
        </is>
      </c>
      <c r="O17" s="3" t="n">
        <v>2</v>
      </c>
      <c r="P17" s="3" t="inlineStr">
        <is>
          <t>2026-10-20</t>
        </is>
      </c>
      <c r="Q17" s="3" t="inlineStr">
        <is>
          <t>2026-11-05</t>
        </is>
      </c>
      <c r="R17" s="3" t="inlineStr">
        <is>
          <t>14:00</t>
        </is>
      </c>
      <c r="S17" s="3" t="inlineStr">
        <is>
          <t>https://classroom.google.com/c/internship-cloud-&amp;-devops-engineer-2026</t>
        </is>
      </c>
      <c r="T17" s="3" t="inlineStr">
        <is>
          <t>https://classroom.google.com/c/submissions/stu-016_task-devo-402</t>
        </is>
      </c>
      <c r="U17" s="3" t="inlineStr">
        <is>
          <t>Core criteria approved. Minor optimization tips noted. Proceed to final capstone integration.</t>
        </is>
      </c>
      <c r="V17" s="3" t="n">
        <v>75</v>
      </c>
      <c r="W17" s="3" t="inlineStr">
        <is>
          <t>In Progress</t>
        </is>
      </c>
      <c r="X17" s="3" t="inlineStr">
        <is>
          <t>Sent</t>
        </is>
      </c>
      <c r="Y17" s="3" t="inlineStr">
        <is>
          <t>2026-10-24 11:19</t>
        </is>
      </c>
      <c r="Z17" s="3" t="inlineStr">
        <is>
          <t>Primary task approved. Capstone briefing scheduled.</t>
        </is>
      </c>
    </row>
    <row r="18">
      <c r="A18" s="2" t="inlineStr">
        <is>
          <t>STU-017</t>
        </is>
      </c>
      <c r="B18" s="2" t="inlineStr">
        <is>
          <t>Kavya Brown</t>
        </is>
      </c>
      <c r="C18" s="2" t="inlineStr">
        <is>
          <t>student017@example-interns.edu</t>
        </is>
      </c>
      <c r="D18" s="2" t="inlineStr">
        <is>
          <t>2026-09-03</t>
        </is>
      </c>
      <c r="E18" s="2" t="inlineStr">
        <is>
          <t>2026-12-03</t>
        </is>
      </c>
      <c r="F18" s="2" t="inlineStr">
        <is>
          <t>Mobile App Developer</t>
        </is>
      </c>
      <c r="G18" s="2" t="inlineStr">
        <is>
          <t>Marcus Chen</t>
        </is>
      </c>
      <c r="H18" s="2" t="inlineStr">
        <is>
          <t>marcus.chen@mentor-labs.org</t>
        </is>
      </c>
      <c r="I18" s="2" t="inlineStr">
        <is>
          <t>TASK-MOBL-501</t>
        </is>
      </c>
      <c r="J18" s="2" t="inlineStr">
        <is>
          <t>Cross-Platform Habit Tracker with Offline SQLite &amp; Push Alerts</t>
        </is>
      </c>
      <c r="K18" s="2" t="inlineStr">
        <is>
          <t>Build a cross-platform mobile application (React Native or Flutter) that allows users to track daily habits, streaks, and completion analytics. Implement local SQLite persistence with background push notification reminders.</t>
        </is>
      </c>
      <c r="L18" s="2" t="inlineStr">
        <is>
          <t>2026-09-10</t>
        </is>
      </c>
      <c r="M18" s="2" t="inlineStr">
        <is>
          <t>2026-09-20</t>
        </is>
      </c>
      <c r="N18" s="2" t="inlineStr">
        <is>
          <t>Approved</t>
        </is>
      </c>
      <c r="O18" s="2" t="n">
        <v>2</v>
      </c>
      <c r="P18" s="2" t="inlineStr">
        <is>
          <t>2026-10-20</t>
        </is>
      </c>
      <c r="Q18" s="2" t="inlineStr">
        <is>
          <t>2026-11-05</t>
        </is>
      </c>
      <c r="R18" s="2" t="inlineStr">
        <is>
          <t>14:00</t>
        </is>
      </c>
      <c r="S18" s="2" t="inlineStr">
        <is>
          <t>https://classroom.google.com/c/internship-mobile-app-developer-2026</t>
        </is>
      </c>
      <c r="T18" s="2" t="inlineStr">
        <is>
          <t>https://classroom.google.com/c/submissions/stu-017_task-mobl-501</t>
        </is>
      </c>
      <c r="U18" s="2" t="inlineStr">
        <is>
          <t>Core criteria approved. Minor optimization tips noted. Proceed to final capstone integration.</t>
        </is>
      </c>
      <c r="V18" s="2" t="n">
        <v>75</v>
      </c>
      <c r="W18" s="2" t="inlineStr">
        <is>
          <t>In Progress</t>
        </is>
      </c>
      <c r="X18" s="2" t="inlineStr">
        <is>
          <t>Sent</t>
        </is>
      </c>
      <c r="Y18" s="2" t="inlineStr">
        <is>
          <t>2026-10-23 11:19</t>
        </is>
      </c>
      <c r="Z18" s="2" t="inlineStr">
        <is>
          <t>Primary task approved. Capstone briefing scheduled.</t>
        </is>
      </c>
    </row>
    <row r="19">
      <c r="A19" s="3" t="inlineStr">
        <is>
          <t>STU-018</t>
        </is>
      </c>
      <c r="B19" s="3" t="inlineStr">
        <is>
          <t>Liam Miller</t>
        </is>
      </c>
      <c r="C19" s="3" t="inlineStr">
        <is>
          <t>student018@example-interns.edu</t>
        </is>
      </c>
      <c r="D19" s="3" t="inlineStr">
        <is>
          <t>2026-09-04</t>
        </is>
      </c>
      <c r="E19" s="3" t="inlineStr">
        <is>
          <t>2026-12-04</t>
        </is>
      </c>
      <c r="F19" s="3" t="inlineStr">
        <is>
          <t>Cybersecurity Specialist</t>
        </is>
      </c>
      <c r="G19" s="3" t="inlineStr">
        <is>
          <t>Nadia Al-Mansoor</t>
        </is>
      </c>
      <c r="H19" s="3" t="inlineStr">
        <is>
          <t>nadia.mansoor@mentor-labs.org</t>
        </is>
      </c>
      <c r="I19" s="3" t="inlineStr">
        <is>
          <t>TASK-CYBR-602</t>
        </is>
      </c>
      <c r="J19" s="3" t="inlineStr">
        <is>
          <t>SOC Intrusion Detection &amp; SIEM Log Correlation Engine</t>
        </is>
      </c>
      <c r="K19" s="3" t="inlineStr">
        <is>
          <t>Construct an automated log correlation parser that ingests syslog and web access logs, detects brute-force authentication attacks and lateral movement patterns, and generates automated incident response tickets.</t>
        </is>
      </c>
      <c r="L19" s="3" t="inlineStr">
        <is>
          <t>2026-09-11</t>
        </is>
      </c>
      <c r="M19" s="3" t="inlineStr">
        <is>
          <t>2026-09-21</t>
        </is>
      </c>
      <c r="N19" s="3" t="inlineStr">
        <is>
          <t>Approved</t>
        </is>
      </c>
      <c r="O19" s="3" t="n">
        <v>2</v>
      </c>
      <c r="P19" s="3" t="inlineStr">
        <is>
          <t>2026-10-20</t>
        </is>
      </c>
      <c r="Q19" s="3" t="inlineStr">
        <is>
          <t>2026-11-05</t>
        </is>
      </c>
      <c r="R19" s="3" t="inlineStr">
        <is>
          <t>14:00</t>
        </is>
      </c>
      <c r="S19" s="3" t="inlineStr">
        <is>
          <t>https://classroom.google.com/c/internship-cybersecurity-specialist-2026</t>
        </is>
      </c>
      <c r="T19" s="3" t="inlineStr">
        <is>
          <t>https://classroom.google.com/c/submissions/stu-018_task-cybr-602</t>
        </is>
      </c>
      <c r="U19" s="3" t="inlineStr">
        <is>
          <t>Core criteria approved. Minor optimization tips noted. Proceed to final capstone integration.</t>
        </is>
      </c>
      <c r="V19" s="3" t="n">
        <v>75</v>
      </c>
      <c r="W19" s="3" t="inlineStr">
        <is>
          <t>In Progress</t>
        </is>
      </c>
      <c r="X19" s="3" t="inlineStr">
        <is>
          <t>Sent</t>
        </is>
      </c>
      <c r="Y19" s="3" t="inlineStr">
        <is>
          <t>2026-10-22 11:19</t>
        </is>
      </c>
      <c r="Z19" s="3" t="inlineStr">
        <is>
          <t>Primary task approved. Capstone briefing scheduled.</t>
        </is>
      </c>
    </row>
    <row r="20">
      <c r="A20" s="2" t="inlineStr">
        <is>
          <t>STU-019</t>
        </is>
      </c>
      <c r="B20" s="2" t="inlineStr">
        <is>
          <t>Maya Martinez</t>
        </is>
      </c>
      <c r="C20" s="2" t="inlineStr">
        <is>
          <t>student019@example-interns.edu</t>
        </is>
      </c>
      <c r="D20" s="2" t="inlineStr">
        <is>
          <t>2026-09-05</t>
        </is>
      </c>
      <c r="E20" s="2" t="inlineStr">
        <is>
          <t>2026-12-05</t>
        </is>
      </c>
      <c r="F20" s="2" t="inlineStr">
        <is>
          <t>AI/ML Engineer</t>
        </is>
      </c>
      <c r="G20" s="2" t="inlineStr">
        <is>
          <t>Dr. Aris Thorne</t>
        </is>
      </c>
      <c r="H20" s="2" t="inlineStr">
        <is>
          <t>aris.thorne@mentor-labs.org</t>
        </is>
      </c>
      <c r="I20" s="2" t="inlineStr">
        <is>
          <t>TASK-AIML-101</t>
        </is>
      </c>
      <c r="J20" s="2" t="inlineStr">
        <is>
          <t>Customer Churn Prediction Pipeline with Scikit-Learn &amp; FastAPI</t>
        </is>
      </c>
      <c r="K20" s="2" t="inlineStr">
        <is>
          <t>Build an end-to-end churn prediction model on telecom customer data. Preprocess tabular data, train Random Forest / XGBoost, evaluate ROC-AUC, and expose inference via a FastAPI REST endpoint with Dockerfile.</t>
        </is>
      </c>
      <c r="L20" s="2" t="inlineStr">
        <is>
          <t>2026-09-12</t>
        </is>
      </c>
      <c r="M20" s="2" t="inlineStr">
        <is>
          <t>2026-09-22</t>
        </is>
      </c>
      <c r="N20" s="2" t="inlineStr">
        <is>
          <t>Approved</t>
        </is>
      </c>
      <c r="O20" s="2" t="n">
        <v>2</v>
      </c>
      <c r="P20" s="2" t="inlineStr">
        <is>
          <t>2026-10-20</t>
        </is>
      </c>
      <c r="Q20" s="2" t="inlineStr">
        <is>
          <t>2026-11-05</t>
        </is>
      </c>
      <c r="R20" s="2" t="inlineStr">
        <is>
          <t>14:00</t>
        </is>
      </c>
      <c r="S20" s="2" t="inlineStr">
        <is>
          <t>https://classroom.google.com/c/internship-ai-ml-engineer-2026</t>
        </is>
      </c>
      <c r="T20" s="2" t="inlineStr">
        <is>
          <t>https://classroom.google.com/c/submissions/stu-019_task-aiml-101</t>
        </is>
      </c>
      <c r="U20" s="2" t="inlineStr">
        <is>
          <t>Core criteria approved. Minor optimization tips noted. Proceed to final capstone integration.</t>
        </is>
      </c>
      <c r="V20" s="2" t="n">
        <v>75</v>
      </c>
      <c r="W20" s="2" t="inlineStr">
        <is>
          <t>In Progress</t>
        </is>
      </c>
      <c r="X20" s="2" t="inlineStr">
        <is>
          <t>Sent</t>
        </is>
      </c>
      <c r="Y20" s="2" t="inlineStr">
        <is>
          <t>2026-10-21 11:19</t>
        </is>
      </c>
      <c r="Z20" s="2" t="inlineStr">
        <is>
          <t>Primary task approved. Capstone briefing scheduled.</t>
        </is>
      </c>
    </row>
    <row r="21">
      <c r="A21" s="3" t="inlineStr">
        <is>
          <t>STU-020</t>
        </is>
      </c>
      <c r="B21" s="3" t="inlineStr">
        <is>
          <t>Noah Gonzalez</t>
        </is>
      </c>
      <c r="C21" s="3" t="inlineStr">
        <is>
          <t>student020@example-interns.edu</t>
        </is>
      </c>
      <c r="D21" s="3" t="inlineStr">
        <is>
          <t>2026-09-06</t>
        </is>
      </c>
      <c r="E21" s="3" t="inlineStr">
        <is>
          <t>2026-12-06</t>
        </is>
      </c>
      <c r="F21" s="3" t="inlineStr">
        <is>
          <t>Full Stack Web Developer</t>
        </is>
      </c>
      <c r="G21" s="3" t="inlineStr">
        <is>
          <t>Prof. Elena Rostova</t>
        </is>
      </c>
      <c r="H21" s="3" t="inlineStr">
        <is>
          <t>elena.rostova@mentor-labs.org</t>
        </is>
      </c>
      <c r="I21" s="3" t="inlineStr">
        <is>
          <t>TASK-FSWD-202</t>
        </is>
      </c>
      <c r="J21" s="3" t="inlineStr">
        <is>
          <t>Real-Time Collaboration Kanban Board with WebSockets</t>
        </is>
      </c>
      <c r="K21" s="3" t="inlineStr">
        <is>
          <t>Develop a multi-tenant Kanban board application where updates to columns, cards, and drag-and-drop actions are synchronized in real-time across connected browser clients using WebSockets.</t>
        </is>
      </c>
      <c r="L21" s="3" t="inlineStr">
        <is>
          <t>2026-09-03</t>
        </is>
      </c>
      <c r="M21" s="3" t="inlineStr">
        <is>
          <t>2026-09-13</t>
        </is>
      </c>
      <c r="N21" s="3" t="inlineStr">
        <is>
          <t>Approved</t>
        </is>
      </c>
      <c r="O21" s="3" t="n">
        <v>2</v>
      </c>
      <c r="P21" s="3" t="inlineStr">
        <is>
          <t>2026-10-20</t>
        </is>
      </c>
      <c r="Q21" s="3" t="inlineStr">
        <is>
          <t>2026-11-05</t>
        </is>
      </c>
      <c r="R21" s="3" t="inlineStr">
        <is>
          <t>14:00</t>
        </is>
      </c>
      <c r="S21" s="3" t="inlineStr">
        <is>
          <t>https://classroom.google.com/c/internship-full-stack-web-developer-2026</t>
        </is>
      </c>
      <c r="T21" s="3" t="inlineStr">
        <is>
          <t>https://classroom.google.com/c/submissions/stu-020_task-fswd-202</t>
        </is>
      </c>
      <c r="U21" s="3" t="inlineStr">
        <is>
          <t>Core criteria approved. Minor optimization tips noted. Proceed to final capstone integration.</t>
        </is>
      </c>
      <c r="V21" s="3" t="n">
        <v>75</v>
      </c>
      <c r="W21" s="3" t="inlineStr">
        <is>
          <t>In Progress</t>
        </is>
      </c>
      <c r="X21" s="3" t="inlineStr">
        <is>
          <t>Sent</t>
        </is>
      </c>
      <c r="Y21" s="3" t="inlineStr">
        <is>
          <t>2026-10-20 11:19</t>
        </is>
      </c>
      <c r="Z21" s="3" t="inlineStr">
        <is>
          <t>Primary task approved. Capstone briefing scheduled.</t>
        </is>
      </c>
    </row>
    <row r="22">
      <c r="A22" s="2" t="inlineStr">
        <is>
          <t>STU-021</t>
        </is>
      </c>
      <c r="B22" s="2" t="inlineStr">
        <is>
          <t>Olivia Thomas</t>
        </is>
      </c>
      <c r="C22" s="2" t="inlineStr">
        <is>
          <t>student021@example-interns.edu</t>
        </is>
      </c>
      <c r="D22" s="2" t="inlineStr">
        <is>
          <t>2026-09-07</t>
        </is>
      </c>
      <c r="E22" s="2" t="inlineStr">
        <is>
          <t>2026-12-07</t>
        </is>
      </c>
      <c r="F22" s="2" t="inlineStr">
        <is>
          <t>Data Analyst</t>
        </is>
      </c>
      <c r="G22" s="2" t="inlineStr">
        <is>
          <t>Sarah Jenkins</t>
        </is>
      </c>
      <c r="H22" s="2" t="inlineStr">
        <is>
          <t>sarah.jenkins@mentor-labs.org</t>
        </is>
      </c>
      <c r="I22" s="2" t="inlineStr">
        <is>
          <t>TASK-DATA-301</t>
        </is>
      </c>
      <c r="J22" s="2" t="inlineStr">
        <is>
          <t>Automated Multi-Source Retail Sales ETL &amp; KPI Dashboard</t>
        </is>
      </c>
      <c r="K22" s="2" t="inlineStr">
        <is>
          <t>Extract raw CSV and JSON transaction logs, clean nulls/outliers in Pandas, load into a star-schema database, and construct an interactive dashboard featuring MoM growth, cohort retention, and customer lifetime value.</t>
        </is>
      </c>
      <c r="L22" s="2" t="inlineStr">
        <is>
          <t>2026-09-04</t>
        </is>
      </c>
      <c r="M22" s="2" t="inlineStr">
        <is>
          <t>2026-09-12</t>
        </is>
      </c>
      <c r="N22" s="2" t="inlineStr">
        <is>
          <t>Under Review</t>
        </is>
      </c>
      <c r="O22" s="2" t="n">
        <v>1</v>
      </c>
      <c r="P22" s="2" t="inlineStr"/>
      <c r="Q22" s="2" t="inlineStr">
        <is>
          <t>2026-10-27</t>
        </is>
      </c>
      <c r="R22" s="2" t="inlineStr">
        <is>
          <t>11:30</t>
        </is>
      </c>
      <c r="S22" s="2" t="inlineStr">
        <is>
          <t>https://classroom.google.com/c/internship-data-analyst-2026</t>
        </is>
      </c>
      <c r="T22" s="2" t="inlineStr">
        <is>
          <t>https://classroom.google.com/c/submissions/stu-021_task-data-301</t>
        </is>
      </c>
      <c r="U22" s="2" t="inlineStr">
        <is>
          <t>Initial automated rubric evaluation pending human mentor sign-off.</t>
        </is>
      </c>
      <c r="V22" s="2" t="n">
        <v>50</v>
      </c>
      <c r="W22" s="2" t="inlineStr">
        <is>
          <t>In Progress</t>
        </is>
      </c>
      <c r="X22" s="2" t="inlineStr">
        <is>
          <t>Sent</t>
        </is>
      </c>
      <c r="Y22" s="2" t="inlineStr">
        <is>
          <t>2026-10-26 11:33:00</t>
        </is>
      </c>
      <c r="Z22" s="2" t="inlineStr">
        <is>
          <t>Submission received on time. Scheduled for formal mentor review.</t>
        </is>
      </c>
    </row>
    <row r="23">
      <c r="A23" s="3" t="inlineStr">
        <is>
          <t>STU-022</t>
        </is>
      </c>
      <c r="B23" s="3" t="inlineStr">
        <is>
          <t>Priya Jackson</t>
        </is>
      </c>
      <c r="C23" s="3" t="inlineStr">
        <is>
          <t>student022@example-interns.edu</t>
        </is>
      </c>
      <c r="D23" s="3" t="inlineStr">
        <is>
          <t>2026-09-08</t>
        </is>
      </c>
      <c r="E23" s="3" t="inlineStr">
        <is>
          <t>2026-12-08</t>
        </is>
      </c>
      <c r="F23" s="3" t="inlineStr">
        <is>
          <t>Cloud &amp; DevOps Engineer</t>
        </is>
      </c>
      <c r="G23" s="3" t="inlineStr">
        <is>
          <t>Rajiv Mehta</t>
        </is>
      </c>
      <c r="H23" s="3" t="inlineStr">
        <is>
          <t>rajiv.mehta@mentor-labs.org</t>
        </is>
      </c>
      <c r="I23" s="3" t="inlineStr">
        <is>
          <t>TASK-DEVO-402</t>
        </is>
      </c>
      <c r="J23" s="3" t="inlineStr">
        <is>
          <t>Kubernetes Microservices Observability with Prometheus &amp; Grafana</t>
        </is>
      </c>
      <c r="K23" s="3" t="inlineStr">
        <is>
          <t>Deploy a 3-tier microservice onto Kubernetes (Minikube / k3s). Implement metric scraping with Prometheus, custom application dashboards in Grafana, and Slack/email Alertmanager rules for pod crash and latency spikes.</t>
        </is>
      </c>
      <c r="L23" s="3" t="inlineStr">
        <is>
          <t>2026-09-05</t>
        </is>
      </c>
      <c r="M23" s="3" t="inlineStr">
        <is>
          <t>2026-09-16</t>
        </is>
      </c>
      <c r="N23" s="3" t="inlineStr">
        <is>
          <t>Under Review</t>
        </is>
      </c>
      <c r="O23" s="3" t="n">
        <v>1</v>
      </c>
      <c r="P23" s="3" t="inlineStr"/>
      <c r="Q23" s="3" t="inlineStr">
        <is>
          <t>2026-10-27</t>
        </is>
      </c>
      <c r="R23" s="3" t="inlineStr">
        <is>
          <t>11:30</t>
        </is>
      </c>
      <c r="S23" s="3" t="inlineStr">
        <is>
          <t>https://classroom.google.com/c/internship-cloud-&amp;-devops-engineer-2026</t>
        </is>
      </c>
      <c r="T23" s="3" t="inlineStr">
        <is>
          <t>https://classroom.google.com/c/submissions/stu-022_task-devo-402</t>
        </is>
      </c>
      <c r="U23" s="3" t="inlineStr">
        <is>
          <t>Initial automated rubric evaluation pending human mentor sign-off.</t>
        </is>
      </c>
      <c r="V23" s="3" t="n">
        <v>50</v>
      </c>
      <c r="W23" s="3" t="inlineStr">
        <is>
          <t>In Progress</t>
        </is>
      </c>
      <c r="X23" s="3" t="inlineStr">
        <is>
          <t>Sent</t>
        </is>
      </c>
      <c r="Y23" s="3" t="inlineStr">
        <is>
          <t>2026-10-26 11:34:23</t>
        </is>
      </c>
      <c r="Z23" s="3" t="inlineStr">
        <is>
          <t>Submission received on time. Scheduled for formal mentor review.</t>
        </is>
      </c>
    </row>
    <row r="24">
      <c r="A24" s="2" t="inlineStr">
        <is>
          <t>STU-023</t>
        </is>
      </c>
      <c r="B24" s="2" t="inlineStr">
        <is>
          <t>Quentin Perez</t>
        </is>
      </c>
      <c r="C24" s="2" t="inlineStr">
        <is>
          <t>student023@example-interns.edu</t>
        </is>
      </c>
      <c r="D24" s="2" t="inlineStr">
        <is>
          <t>2026-09-09</t>
        </is>
      </c>
      <c r="E24" s="2" t="inlineStr">
        <is>
          <t>2026-12-09</t>
        </is>
      </c>
      <c r="F24" s="2" t="inlineStr">
        <is>
          <t>Mobile App Developer</t>
        </is>
      </c>
      <c r="G24" s="2" t="inlineStr">
        <is>
          <t>Marcus Chen</t>
        </is>
      </c>
      <c r="H24" s="2" t="inlineStr">
        <is>
          <t>marcus.chen@mentor-labs.org</t>
        </is>
      </c>
      <c r="I24" s="2" t="inlineStr">
        <is>
          <t>TASK-MOBL-501</t>
        </is>
      </c>
      <c r="J24" s="2" t="inlineStr">
        <is>
          <t>Cross-Platform Habit Tracker with Offline SQLite &amp; Push Alerts</t>
        </is>
      </c>
      <c r="K24" s="2" t="inlineStr">
        <is>
          <t>Build a cross-platform mobile application (React Native or Flutter) that allows users to track daily habits, streaks, and completion analytics. Implement local SQLite persistence with background push notification reminders.</t>
        </is>
      </c>
      <c r="L24" s="2" t="inlineStr">
        <is>
          <t>2026-09-06</t>
        </is>
      </c>
      <c r="M24" s="2" t="inlineStr">
        <is>
          <t>2026-09-16</t>
        </is>
      </c>
      <c r="N24" s="2" t="inlineStr">
        <is>
          <t>Under Review</t>
        </is>
      </c>
      <c r="O24" s="2" t="n">
        <v>1</v>
      </c>
      <c r="P24" s="2" t="inlineStr"/>
      <c r="Q24" s="2" t="inlineStr">
        <is>
          <t>2026-10-27</t>
        </is>
      </c>
      <c r="R24" s="2" t="inlineStr">
        <is>
          <t>11:30</t>
        </is>
      </c>
      <c r="S24" s="2" t="inlineStr">
        <is>
          <t>https://classroom.google.com/c/internship-mobile-app-developer-2026</t>
        </is>
      </c>
      <c r="T24" s="2" t="inlineStr">
        <is>
          <t>https://classroom.google.com/c/submissions/stu-023_task-mobl-501</t>
        </is>
      </c>
      <c r="U24" s="2" t="inlineStr">
        <is>
          <t>Initial automated rubric evaluation pending human mentor sign-off.</t>
        </is>
      </c>
      <c r="V24" s="2" t="n">
        <v>50</v>
      </c>
      <c r="W24" s="2" t="inlineStr">
        <is>
          <t>In Progress</t>
        </is>
      </c>
      <c r="X24" s="2" t="inlineStr">
        <is>
          <t>Sent</t>
        </is>
      </c>
      <c r="Y24" s="2" t="inlineStr">
        <is>
          <t>2026-10-26 11:34:23</t>
        </is>
      </c>
      <c r="Z24" s="2" t="inlineStr">
        <is>
          <t>Submission received on time. Scheduled for formal mentor review.</t>
        </is>
      </c>
    </row>
    <row r="25">
      <c r="A25" s="3" t="inlineStr">
        <is>
          <t>STU-024</t>
        </is>
      </c>
      <c r="B25" s="3" t="inlineStr">
        <is>
          <t>Rohan Harris</t>
        </is>
      </c>
      <c r="C25" s="3" t="inlineStr">
        <is>
          <t>student024@example-interns.edu</t>
        </is>
      </c>
      <c r="D25" s="3" t="inlineStr">
        <is>
          <t>2026-09-10</t>
        </is>
      </c>
      <c r="E25" s="3" t="inlineStr">
        <is>
          <t>2026-12-10</t>
        </is>
      </c>
      <c r="F25" s="3" t="inlineStr">
        <is>
          <t>Cybersecurity Specialist</t>
        </is>
      </c>
      <c r="G25" s="3" t="inlineStr">
        <is>
          <t>Nadia Al-Mansoor</t>
        </is>
      </c>
      <c r="H25" s="3" t="inlineStr">
        <is>
          <t>nadia.mansoor@mentor-labs.org</t>
        </is>
      </c>
      <c r="I25" s="3" t="inlineStr">
        <is>
          <t>TASK-CYBR-602</t>
        </is>
      </c>
      <c r="J25" s="3" t="inlineStr">
        <is>
          <t>SOC Intrusion Detection &amp; SIEM Log Correlation Engine</t>
        </is>
      </c>
      <c r="K25" s="3" t="inlineStr">
        <is>
          <t>Construct an automated log correlation parser that ingests syslog and web access logs, detects brute-force authentication attacks and lateral movement patterns, and generates automated incident response tickets.</t>
        </is>
      </c>
      <c r="L25" s="3" t="inlineStr">
        <is>
          <t>2026-09-07</t>
        </is>
      </c>
      <c r="M25" s="3" t="inlineStr">
        <is>
          <t>2026-09-17</t>
        </is>
      </c>
      <c r="N25" s="3" t="inlineStr">
        <is>
          <t>Under Review</t>
        </is>
      </c>
      <c r="O25" s="3" t="n">
        <v>1</v>
      </c>
      <c r="P25" s="3" t="inlineStr"/>
      <c r="Q25" s="3" t="inlineStr">
        <is>
          <t>2026-10-27</t>
        </is>
      </c>
      <c r="R25" s="3" t="inlineStr">
        <is>
          <t>11:30</t>
        </is>
      </c>
      <c r="S25" s="3" t="inlineStr">
        <is>
          <t>https://classroom.google.com/c/internship-cybersecurity-specialist-2026</t>
        </is>
      </c>
      <c r="T25" s="3" t="inlineStr">
        <is>
          <t>https://classroom.google.com/c/submissions/stu-024_task-cybr-602</t>
        </is>
      </c>
      <c r="U25" s="3" t="inlineStr">
        <is>
          <t>Initial automated rubric evaluation pending human mentor sign-off.</t>
        </is>
      </c>
      <c r="V25" s="3" t="n">
        <v>50</v>
      </c>
      <c r="W25" s="3" t="inlineStr">
        <is>
          <t>In Progress</t>
        </is>
      </c>
      <c r="X25" s="3" t="inlineStr">
        <is>
          <t>Sent</t>
        </is>
      </c>
      <c r="Y25" s="3" t="inlineStr">
        <is>
          <t>2026-10-26 11:34:23</t>
        </is>
      </c>
      <c r="Z25" s="3" t="inlineStr">
        <is>
          <t>Submission received on time. Scheduled for formal mentor review.</t>
        </is>
      </c>
    </row>
    <row r="26">
      <c r="A26" s="2" t="inlineStr">
        <is>
          <t>STU-025</t>
        </is>
      </c>
      <c r="B26" s="2" t="inlineStr">
        <is>
          <t>Sophia Ramirez</t>
        </is>
      </c>
      <c r="C26" s="2" t="inlineStr">
        <is>
          <t>student025@example-interns.edu</t>
        </is>
      </c>
      <c r="D26" s="2" t="inlineStr">
        <is>
          <t>2026-09-11</t>
        </is>
      </c>
      <c r="E26" s="2" t="inlineStr">
        <is>
          <t>2026-12-11</t>
        </is>
      </c>
      <c r="F26" s="2" t="inlineStr">
        <is>
          <t>AI/ML Engineer</t>
        </is>
      </c>
      <c r="G26" s="2" t="inlineStr">
        <is>
          <t>Dr. Aris Thorne</t>
        </is>
      </c>
      <c r="H26" s="2" t="inlineStr">
        <is>
          <t>aris.thorne@mentor-labs.org</t>
        </is>
      </c>
      <c r="I26" s="2" t="inlineStr">
        <is>
          <t>TASK-AIML-101</t>
        </is>
      </c>
      <c r="J26" s="2" t="inlineStr">
        <is>
          <t>Customer Churn Prediction Pipeline with Scikit-Learn &amp; FastAPI</t>
        </is>
      </c>
      <c r="K26" s="2" t="inlineStr">
        <is>
          <t>Build an end-to-end churn prediction model on telecom customer data. Preprocess tabular data, train Random Forest / XGBoost, evaluate ROC-AUC, and expose inference via a FastAPI REST endpoint with Dockerfile.</t>
        </is>
      </c>
      <c r="L26" s="2" t="inlineStr">
        <is>
          <t>2026-09-08</t>
        </is>
      </c>
      <c r="M26" s="2" t="inlineStr">
        <is>
          <t>2026-09-18</t>
        </is>
      </c>
      <c r="N26" s="2" t="inlineStr">
        <is>
          <t>Under Review</t>
        </is>
      </c>
      <c r="O26" s="2" t="n">
        <v>1</v>
      </c>
      <c r="P26" s="2" t="inlineStr"/>
      <c r="Q26" s="2" t="inlineStr">
        <is>
          <t>2026-10-27</t>
        </is>
      </c>
      <c r="R26" s="2" t="inlineStr">
        <is>
          <t>11:30</t>
        </is>
      </c>
      <c r="S26" s="2" t="inlineStr">
        <is>
          <t>https://classroom.google.com/c/internship-ai-ml-engineer-2026</t>
        </is>
      </c>
      <c r="T26" s="2" t="inlineStr">
        <is>
          <t>https://classroom.google.com/c/submissions/stu-025_task-aiml-101</t>
        </is>
      </c>
      <c r="U26" s="2" t="inlineStr">
        <is>
          <t>Initial automated rubric evaluation pending human mentor sign-off.</t>
        </is>
      </c>
      <c r="V26" s="2" t="n">
        <v>50</v>
      </c>
      <c r="W26" s="2" t="inlineStr">
        <is>
          <t>In Progress</t>
        </is>
      </c>
      <c r="X26" s="2" t="inlineStr">
        <is>
          <t>Sent</t>
        </is>
      </c>
      <c r="Y26" s="2" t="inlineStr">
        <is>
          <t>2026-10-26 11:34:23</t>
        </is>
      </c>
      <c r="Z26" s="2" t="inlineStr">
        <is>
          <t>Submission received on time. Scheduled for formal mentor review.</t>
        </is>
      </c>
    </row>
    <row r="27">
      <c r="A27" s="3" t="inlineStr">
        <is>
          <t>STU-026</t>
        </is>
      </c>
      <c r="B27" s="3" t="inlineStr">
        <is>
          <t>Tariq Walker</t>
        </is>
      </c>
      <c r="C27" s="3" t="inlineStr">
        <is>
          <t>student026@example-interns.edu</t>
        </is>
      </c>
      <c r="D27" s="3" t="inlineStr">
        <is>
          <t>2026-09-12</t>
        </is>
      </c>
      <c r="E27" s="3" t="inlineStr">
        <is>
          <t>2026-12-12</t>
        </is>
      </c>
      <c r="F27" s="3" t="inlineStr">
        <is>
          <t>Full Stack Web Developer</t>
        </is>
      </c>
      <c r="G27" s="3" t="inlineStr">
        <is>
          <t>Prof. Elena Rostova</t>
        </is>
      </c>
      <c r="H27" s="3" t="inlineStr">
        <is>
          <t>elena.rostova@mentor-labs.org</t>
        </is>
      </c>
      <c r="I27" s="3" t="inlineStr">
        <is>
          <t>TASK-FSWD-202</t>
        </is>
      </c>
      <c r="J27" s="3" t="inlineStr">
        <is>
          <t>Real-Time Collaboration Kanban Board with WebSockets</t>
        </is>
      </c>
      <c r="K27" s="3" t="inlineStr">
        <is>
          <t>Develop a multi-tenant Kanban board application where updates to columns, cards, and drag-and-drop actions are synchronized in real-time across connected browser clients using WebSockets.</t>
        </is>
      </c>
      <c r="L27" s="3" t="inlineStr">
        <is>
          <t>2026-09-09</t>
        </is>
      </c>
      <c r="M27" s="3" t="inlineStr">
        <is>
          <t>2026-09-19</t>
        </is>
      </c>
      <c r="N27" s="3" t="inlineStr">
        <is>
          <t>Under Review</t>
        </is>
      </c>
      <c r="O27" s="3" t="n">
        <v>1</v>
      </c>
      <c r="P27" s="3" t="inlineStr"/>
      <c r="Q27" s="3" t="inlineStr">
        <is>
          <t>2026-10-27</t>
        </is>
      </c>
      <c r="R27" s="3" t="inlineStr">
        <is>
          <t>11:30</t>
        </is>
      </c>
      <c r="S27" s="3" t="inlineStr">
        <is>
          <t>https://classroom.google.com/c/internship-full-stack-web-developer-2026</t>
        </is>
      </c>
      <c r="T27" s="3" t="inlineStr">
        <is>
          <t>https://classroom.google.com/c/submissions/stu-026_task-fswd-202</t>
        </is>
      </c>
      <c r="U27" s="3" t="inlineStr">
        <is>
          <t>Initial automated rubric evaluation pending human mentor sign-off.</t>
        </is>
      </c>
      <c r="V27" s="3" t="n">
        <v>50</v>
      </c>
      <c r="W27" s="3" t="inlineStr">
        <is>
          <t>In Progress</t>
        </is>
      </c>
      <c r="X27" s="3" t="inlineStr">
        <is>
          <t>Sent</t>
        </is>
      </c>
      <c r="Y27" s="3" t="inlineStr">
        <is>
          <t>2026-10-26 11:34:24</t>
        </is>
      </c>
      <c r="Z27" s="3" t="inlineStr">
        <is>
          <t>Submission received on time. Scheduled for formal mentor review.</t>
        </is>
      </c>
    </row>
    <row r="28">
      <c r="A28" s="2" t="inlineStr">
        <is>
          <t>STU-027</t>
        </is>
      </c>
      <c r="B28" s="2" t="inlineStr">
        <is>
          <t>Uma King</t>
        </is>
      </c>
      <c r="C28" s="2" t="inlineStr">
        <is>
          <t>student027@example-interns.edu</t>
        </is>
      </c>
      <c r="D28" s="2" t="inlineStr">
        <is>
          <t>2026-09-13</t>
        </is>
      </c>
      <c r="E28" s="2" t="inlineStr">
        <is>
          <t>2026-12-13</t>
        </is>
      </c>
      <c r="F28" s="2" t="inlineStr">
        <is>
          <t>Data Analyst</t>
        </is>
      </c>
      <c r="G28" s="2" t="inlineStr">
        <is>
          <t>Sarah Jenkins</t>
        </is>
      </c>
      <c r="H28" s="2" t="inlineStr">
        <is>
          <t>sarah.jenkins@mentor-labs.org</t>
        </is>
      </c>
      <c r="I28" s="2" t="inlineStr">
        <is>
          <t>TASK-DATA-301</t>
        </is>
      </c>
      <c r="J28" s="2" t="inlineStr">
        <is>
          <t>Automated Multi-Source Retail Sales ETL &amp; KPI Dashboard</t>
        </is>
      </c>
      <c r="K28" s="2" t="inlineStr">
        <is>
          <t>Extract raw CSV and JSON transaction logs, clean nulls/outliers in Pandas, load into a star-schema database, and construct an interactive dashboard featuring MoM growth, cohort retention, and customer lifetime value.</t>
        </is>
      </c>
      <c r="L28" s="2" t="inlineStr">
        <is>
          <t>2026-09-10</t>
        </is>
      </c>
      <c r="M28" s="2" t="inlineStr">
        <is>
          <t>2026-09-18</t>
        </is>
      </c>
      <c r="N28" s="2" t="inlineStr">
        <is>
          <t>Under Review</t>
        </is>
      </c>
      <c r="O28" s="2" t="n">
        <v>1</v>
      </c>
      <c r="P28" s="2" t="inlineStr"/>
      <c r="Q28" s="2" t="inlineStr">
        <is>
          <t>2026-10-27</t>
        </is>
      </c>
      <c r="R28" s="2" t="inlineStr">
        <is>
          <t>11:30</t>
        </is>
      </c>
      <c r="S28" s="2" t="inlineStr">
        <is>
          <t>https://classroom.google.com/c/internship-data-analyst-2026</t>
        </is>
      </c>
      <c r="T28" s="2" t="inlineStr">
        <is>
          <t>https://classroom.google.com/c/submissions/stu-027_task-data-301</t>
        </is>
      </c>
      <c r="U28" s="2" t="inlineStr">
        <is>
          <t>Initial automated rubric evaluation pending human mentor sign-off.</t>
        </is>
      </c>
      <c r="V28" s="2" t="n">
        <v>50</v>
      </c>
      <c r="W28" s="2" t="inlineStr">
        <is>
          <t>In Progress</t>
        </is>
      </c>
      <c r="X28" s="2" t="inlineStr">
        <is>
          <t>Sent</t>
        </is>
      </c>
      <c r="Y28" s="2" t="inlineStr">
        <is>
          <t>2026-10-26 11:34:24</t>
        </is>
      </c>
      <c r="Z28" s="2" t="inlineStr">
        <is>
          <t>Submission received on time. Scheduled for formal mentor review.</t>
        </is>
      </c>
    </row>
    <row r="29">
      <c r="A29" s="3" t="inlineStr">
        <is>
          <t>STU-028</t>
        </is>
      </c>
      <c r="B29" s="3" t="inlineStr">
        <is>
          <t>Victor Torres</t>
        </is>
      </c>
      <c r="C29" s="3" t="inlineStr">
        <is>
          <t>student028@example-interns.edu</t>
        </is>
      </c>
      <c r="D29" s="3" t="inlineStr">
        <is>
          <t>2026-09-14</t>
        </is>
      </c>
      <c r="E29" s="3" t="inlineStr">
        <is>
          <t>2026-12-14</t>
        </is>
      </c>
      <c r="F29" s="3" t="inlineStr">
        <is>
          <t>Cloud &amp; DevOps Engineer</t>
        </is>
      </c>
      <c r="G29" s="3" t="inlineStr">
        <is>
          <t>Rajiv Mehta</t>
        </is>
      </c>
      <c r="H29" s="3" t="inlineStr">
        <is>
          <t>rajiv.mehta@mentor-labs.org</t>
        </is>
      </c>
      <c r="I29" s="3" t="inlineStr">
        <is>
          <t>TASK-DEVO-402</t>
        </is>
      </c>
      <c r="J29" s="3" t="inlineStr">
        <is>
          <t>Kubernetes Microservices Observability with Prometheus &amp; Grafana</t>
        </is>
      </c>
      <c r="K29" s="3" t="inlineStr">
        <is>
          <t>Deploy a 3-tier microservice onto Kubernetes (Minikube / k3s). Implement metric scraping with Prometheus, custom application dashboards in Grafana, and Slack/email Alertmanager rules for pod crash and latency spikes.</t>
        </is>
      </c>
      <c r="L29" s="3" t="inlineStr">
        <is>
          <t>2026-09-11</t>
        </is>
      </c>
      <c r="M29" s="3" t="inlineStr">
        <is>
          <t>2026-09-22</t>
        </is>
      </c>
      <c r="N29" s="3" t="inlineStr">
        <is>
          <t>Under Review</t>
        </is>
      </c>
      <c r="O29" s="3" t="n">
        <v>1</v>
      </c>
      <c r="P29" s="3" t="inlineStr"/>
      <c r="Q29" s="3" t="inlineStr">
        <is>
          <t>2026-10-27</t>
        </is>
      </c>
      <c r="R29" s="3" t="inlineStr">
        <is>
          <t>11:30</t>
        </is>
      </c>
      <c r="S29" s="3" t="inlineStr">
        <is>
          <t>https://classroom.google.com/c/internship-cloud-&amp;-devops-engineer-2026</t>
        </is>
      </c>
      <c r="T29" s="3" t="inlineStr">
        <is>
          <t>https://classroom.google.com/c/submissions/stu-028_task-devo-402</t>
        </is>
      </c>
      <c r="U29" s="3" t="inlineStr">
        <is>
          <t>Initial automated rubric evaluation pending human mentor sign-off.</t>
        </is>
      </c>
      <c r="V29" s="3" t="n">
        <v>50</v>
      </c>
      <c r="W29" s="3" t="inlineStr">
        <is>
          <t>In Progress</t>
        </is>
      </c>
      <c r="X29" s="3" t="inlineStr">
        <is>
          <t>Sent</t>
        </is>
      </c>
      <c r="Y29" s="3" t="inlineStr">
        <is>
          <t>2026-10-26 11:34:24</t>
        </is>
      </c>
      <c r="Z29" s="3" t="inlineStr">
        <is>
          <t>Submission received on time. Scheduled for formal mentor review.</t>
        </is>
      </c>
    </row>
    <row r="30">
      <c r="A30" s="2" t="inlineStr">
        <is>
          <t>STU-029</t>
        </is>
      </c>
      <c r="B30" s="2" t="inlineStr">
        <is>
          <t>Wei Flores</t>
        </is>
      </c>
      <c r="C30" s="2" t="inlineStr">
        <is>
          <t>student029@example-interns.edu</t>
        </is>
      </c>
      <c r="D30" s="2" t="inlineStr">
        <is>
          <t>2026-09-15</t>
        </is>
      </c>
      <c r="E30" s="2" t="inlineStr">
        <is>
          <t>2026-12-15</t>
        </is>
      </c>
      <c r="F30" s="2" t="inlineStr">
        <is>
          <t>Mobile App Developer</t>
        </is>
      </c>
      <c r="G30" s="2" t="inlineStr">
        <is>
          <t>Marcus Chen</t>
        </is>
      </c>
      <c r="H30" s="2" t="inlineStr">
        <is>
          <t>marcus.chen@mentor-labs.org</t>
        </is>
      </c>
      <c r="I30" s="2" t="inlineStr">
        <is>
          <t>TASK-MOBL-501</t>
        </is>
      </c>
      <c r="J30" s="2" t="inlineStr">
        <is>
          <t>Cross-Platform Habit Tracker with Offline SQLite &amp; Push Alerts</t>
        </is>
      </c>
      <c r="K30" s="2" t="inlineStr">
        <is>
          <t>Build a cross-platform mobile application (React Native or Flutter) that allows users to track daily habits, streaks, and completion analytics. Implement local SQLite persistence with background push notification reminders.</t>
        </is>
      </c>
      <c r="L30" s="2" t="inlineStr">
        <is>
          <t>2026-09-12</t>
        </is>
      </c>
      <c r="M30" s="2" t="inlineStr">
        <is>
          <t>2026-09-22</t>
        </is>
      </c>
      <c r="N30" s="2" t="inlineStr">
        <is>
          <t>Under Review</t>
        </is>
      </c>
      <c r="O30" s="2" t="n">
        <v>1</v>
      </c>
      <c r="P30" s="2" t="inlineStr"/>
      <c r="Q30" s="2" t="inlineStr">
        <is>
          <t>2026-10-27</t>
        </is>
      </c>
      <c r="R30" s="2" t="inlineStr">
        <is>
          <t>11:30</t>
        </is>
      </c>
      <c r="S30" s="2" t="inlineStr">
        <is>
          <t>https://classroom.google.com/c/internship-mobile-app-developer-2026</t>
        </is>
      </c>
      <c r="T30" s="2" t="inlineStr">
        <is>
          <t>https://classroom.google.com/c/submissions/stu-029_task-mobl-501</t>
        </is>
      </c>
      <c r="U30" s="2" t="inlineStr">
        <is>
          <t>Initial automated rubric evaluation pending human mentor sign-off.</t>
        </is>
      </c>
      <c r="V30" s="2" t="n">
        <v>50</v>
      </c>
      <c r="W30" s="2" t="inlineStr">
        <is>
          <t>In Progress</t>
        </is>
      </c>
      <c r="X30" s="2" t="inlineStr">
        <is>
          <t>Sent</t>
        </is>
      </c>
      <c r="Y30" s="2" t="inlineStr">
        <is>
          <t>2026-10-26 11:34:24</t>
        </is>
      </c>
      <c r="Z30" s="2" t="inlineStr">
        <is>
          <t>Submission received on time. Scheduled for formal mentor review.</t>
        </is>
      </c>
    </row>
    <row r="31">
      <c r="A31" s="3" t="inlineStr">
        <is>
          <t>STU-030</t>
        </is>
      </c>
      <c r="B31" s="3" t="inlineStr">
        <is>
          <t>Zara Nelson</t>
        </is>
      </c>
      <c r="C31" s="3" t="inlineStr">
        <is>
          <t>student030@example-interns.edu</t>
        </is>
      </c>
      <c r="D31" s="3" t="inlineStr">
        <is>
          <t>2026-09-01</t>
        </is>
      </c>
      <c r="E31" s="3" t="inlineStr">
        <is>
          <t>2026-12-01</t>
        </is>
      </c>
      <c r="F31" s="3" t="inlineStr">
        <is>
          <t>Cybersecurity Specialist</t>
        </is>
      </c>
      <c r="G31" s="3" t="inlineStr">
        <is>
          <t>Nadia Al-Mansoor</t>
        </is>
      </c>
      <c r="H31" s="3" t="inlineStr">
        <is>
          <t>nadia.mansoor@mentor-labs.org</t>
        </is>
      </c>
      <c r="I31" s="3" t="inlineStr">
        <is>
          <t>TASK-CYBR-602</t>
        </is>
      </c>
      <c r="J31" s="3" t="inlineStr">
        <is>
          <t>SOC Intrusion Detection &amp; SIEM Log Correlation Engine</t>
        </is>
      </c>
      <c r="K31" s="3" t="inlineStr">
        <is>
          <t>Construct an automated log correlation parser that ingests syslog and web access logs, detects brute-force authentication attacks and lateral movement patterns, and generates automated incident response tickets.</t>
        </is>
      </c>
      <c r="L31" s="3" t="inlineStr">
        <is>
          <t>2026-09-03</t>
        </is>
      </c>
      <c r="M31" s="3" t="inlineStr">
        <is>
          <t>2026-09-13</t>
        </is>
      </c>
      <c r="N31" s="3" t="inlineStr">
        <is>
          <t>Under Review</t>
        </is>
      </c>
      <c r="O31" s="3" t="n">
        <v>1</v>
      </c>
      <c r="P31" s="3" t="inlineStr"/>
      <c r="Q31" s="3" t="inlineStr">
        <is>
          <t>2026-10-27</t>
        </is>
      </c>
      <c r="R31" s="3" t="inlineStr">
        <is>
          <t>11:30</t>
        </is>
      </c>
      <c r="S31" s="3" t="inlineStr">
        <is>
          <t>https://classroom.google.com/c/internship-cybersecurity-specialist-2026</t>
        </is>
      </c>
      <c r="T31" s="3" t="inlineStr">
        <is>
          <t>https://classroom.google.com/c/submissions/stu-030_task-cybr-602</t>
        </is>
      </c>
      <c r="U31" s="3" t="inlineStr">
        <is>
          <t>Initial automated rubric evaluation pending human mentor sign-off.</t>
        </is>
      </c>
      <c r="V31" s="3" t="n">
        <v>50</v>
      </c>
      <c r="W31" s="3" t="inlineStr">
        <is>
          <t>In Progress</t>
        </is>
      </c>
      <c r="X31" s="3" t="inlineStr">
        <is>
          <t>Sent</t>
        </is>
      </c>
      <c r="Y31" s="3" t="inlineStr">
        <is>
          <t>2026-10-26 11:34:24</t>
        </is>
      </c>
      <c r="Z31" s="3" t="inlineStr">
        <is>
          <t>Submission received on time. Scheduled for formal mentor review.</t>
        </is>
      </c>
    </row>
    <row r="32">
      <c r="A32" s="2" t="inlineStr">
        <is>
          <t>STU-031</t>
        </is>
      </c>
      <c r="B32" s="2" t="inlineStr">
        <is>
          <t>Ananya Rivera</t>
        </is>
      </c>
      <c r="C32" s="2" t="inlineStr">
        <is>
          <t>student031@example-interns.edu</t>
        </is>
      </c>
      <c r="D32" s="2" t="inlineStr">
        <is>
          <t>2026-09-02</t>
        </is>
      </c>
      <c r="E32" s="2" t="inlineStr">
        <is>
          <t>2026-12-02</t>
        </is>
      </c>
      <c r="F32" s="2" t="inlineStr">
        <is>
          <t>AI/ML Engineer</t>
        </is>
      </c>
      <c r="G32" s="2" t="inlineStr">
        <is>
          <t>Dr. Aris Thorne</t>
        </is>
      </c>
      <c r="H32" s="2" t="inlineStr">
        <is>
          <t>aris.thorne@mentor-labs.org</t>
        </is>
      </c>
      <c r="I32" s="2" t="inlineStr">
        <is>
          <t>TASK-AIML-101</t>
        </is>
      </c>
      <c r="J32" s="2" t="inlineStr">
        <is>
          <t>Customer Churn Prediction Pipeline with Scikit-Learn &amp; FastAPI</t>
        </is>
      </c>
      <c r="K32" s="2" t="inlineStr">
        <is>
          <t>Build an end-to-end churn prediction model on telecom customer data. Preprocess tabular data, train Random Forest / XGBoost, evaluate ROC-AUC, and expose inference via a FastAPI REST endpoint with Dockerfile.</t>
        </is>
      </c>
      <c r="L32" s="2" t="inlineStr">
        <is>
          <t>2026-09-04</t>
        </is>
      </c>
      <c r="M32" s="2" t="inlineStr">
        <is>
          <t>2026-09-14</t>
        </is>
      </c>
      <c r="N32" s="2" t="inlineStr">
        <is>
          <t>Under Review</t>
        </is>
      </c>
      <c r="O32" s="2" t="n">
        <v>1</v>
      </c>
      <c r="P32" s="2" t="inlineStr"/>
      <c r="Q32" s="2" t="inlineStr">
        <is>
          <t>2026-10-27</t>
        </is>
      </c>
      <c r="R32" s="2" t="inlineStr">
        <is>
          <t>11:30</t>
        </is>
      </c>
      <c r="S32" s="2" t="inlineStr">
        <is>
          <t>https://classroom.google.com/c/internship-ai-ml-engineer-2026</t>
        </is>
      </c>
      <c r="T32" s="2" t="inlineStr">
        <is>
          <t>https://classroom.google.com/c/submissions/stu-031_task-aiml-101</t>
        </is>
      </c>
      <c r="U32" s="2" t="inlineStr">
        <is>
          <t>Initial automated rubric evaluation pending human mentor sign-off.</t>
        </is>
      </c>
      <c r="V32" s="2" t="n">
        <v>50</v>
      </c>
      <c r="W32" s="2" t="inlineStr">
        <is>
          <t>In Progress</t>
        </is>
      </c>
      <c r="X32" s="2" t="inlineStr">
        <is>
          <t>Sent</t>
        </is>
      </c>
      <c r="Y32" s="2" t="inlineStr">
        <is>
          <t>2026-10-26 11:34:24</t>
        </is>
      </c>
      <c r="Z32" s="2" t="inlineStr">
        <is>
          <t>Submission received on time. Scheduled for formal mentor review.</t>
        </is>
      </c>
    </row>
    <row r="33">
      <c r="A33" s="3" t="inlineStr">
        <is>
          <t>STU-032</t>
        </is>
      </c>
      <c r="B33" s="3" t="inlineStr">
        <is>
          <t>Brian Patel</t>
        </is>
      </c>
      <c r="C33" s="3" t="inlineStr">
        <is>
          <t>student032@example-interns.edu</t>
        </is>
      </c>
      <c r="D33" s="3" t="inlineStr">
        <is>
          <t>2026-09-03</t>
        </is>
      </c>
      <c r="E33" s="3" t="inlineStr">
        <is>
          <t>2026-12-03</t>
        </is>
      </c>
      <c r="F33" s="3" t="inlineStr">
        <is>
          <t>Full Stack Web Developer</t>
        </is>
      </c>
      <c r="G33" s="3" t="inlineStr">
        <is>
          <t>Prof. Elena Rostova</t>
        </is>
      </c>
      <c r="H33" s="3" t="inlineStr">
        <is>
          <t>elena.rostova@mentor-labs.org</t>
        </is>
      </c>
      <c r="I33" s="3" t="inlineStr">
        <is>
          <t>TASK-FSWD-202</t>
        </is>
      </c>
      <c r="J33" s="3" t="inlineStr">
        <is>
          <t>Real-Time Collaboration Kanban Board with WebSockets</t>
        </is>
      </c>
      <c r="K33" s="3" t="inlineStr">
        <is>
          <t>Develop a multi-tenant Kanban board application where updates to columns, cards, and drag-and-drop actions are synchronized in real-time across connected browser clients using WebSockets.</t>
        </is>
      </c>
      <c r="L33" s="3" t="inlineStr">
        <is>
          <t>2026-09-05</t>
        </is>
      </c>
      <c r="M33" s="3" t="inlineStr">
        <is>
          <t>2026-09-15</t>
        </is>
      </c>
      <c r="N33" s="3" t="inlineStr">
        <is>
          <t>Under Review</t>
        </is>
      </c>
      <c r="O33" s="3" t="n">
        <v>1</v>
      </c>
      <c r="P33" s="3" t="inlineStr"/>
      <c r="Q33" s="3" t="inlineStr">
        <is>
          <t>2026-10-27</t>
        </is>
      </c>
      <c r="R33" s="3" t="inlineStr">
        <is>
          <t>11:30</t>
        </is>
      </c>
      <c r="S33" s="3" t="inlineStr">
        <is>
          <t>https://classroom.google.com/c/internship-full-stack-web-developer-2026</t>
        </is>
      </c>
      <c r="T33" s="3" t="inlineStr">
        <is>
          <t>https://classroom.google.com/c/submissions/stu-032_task-fswd-202</t>
        </is>
      </c>
      <c r="U33" s="3" t="inlineStr">
        <is>
          <t>Initial automated rubric evaluation pending human mentor sign-off.</t>
        </is>
      </c>
      <c r="V33" s="3" t="n">
        <v>50</v>
      </c>
      <c r="W33" s="3" t="inlineStr">
        <is>
          <t>In Progress</t>
        </is>
      </c>
      <c r="X33" s="3" t="inlineStr">
        <is>
          <t>Sent</t>
        </is>
      </c>
      <c r="Y33" s="3" t="inlineStr">
        <is>
          <t>2026-10-26 11:34:24</t>
        </is>
      </c>
      <c r="Z33" s="3" t="inlineStr">
        <is>
          <t>Submission received on time. Scheduled for formal mentor review.</t>
        </is>
      </c>
    </row>
    <row r="34">
      <c r="A34" s="2" t="inlineStr">
        <is>
          <t>STU-033</t>
        </is>
      </c>
      <c r="B34" s="2" t="inlineStr">
        <is>
          <t>Camila Johnson</t>
        </is>
      </c>
      <c r="C34" s="2" t="inlineStr">
        <is>
          <t>student033@example-interns.edu</t>
        </is>
      </c>
      <c r="D34" s="2" t="inlineStr">
        <is>
          <t>2026-09-04</t>
        </is>
      </c>
      <c r="E34" s="2" t="inlineStr">
        <is>
          <t>2026-12-04</t>
        </is>
      </c>
      <c r="F34" s="2" t="inlineStr">
        <is>
          <t>Data Analyst</t>
        </is>
      </c>
      <c r="G34" s="2" t="inlineStr">
        <is>
          <t>Sarah Jenkins</t>
        </is>
      </c>
      <c r="H34" s="2" t="inlineStr">
        <is>
          <t>sarah.jenkins@mentor-labs.org</t>
        </is>
      </c>
      <c r="I34" s="2" t="inlineStr">
        <is>
          <t>TASK-DATA-301</t>
        </is>
      </c>
      <c r="J34" s="2" t="inlineStr">
        <is>
          <t>Automated Multi-Source Retail Sales ETL &amp; KPI Dashboard</t>
        </is>
      </c>
      <c r="K34" s="2" t="inlineStr">
        <is>
          <t>Extract raw CSV and JSON transaction logs, clean nulls/outliers in Pandas, load into a star-schema database, and construct an interactive dashboard featuring MoM growth, cohort retention, and customer lifetime value.</t>
        </is>
      </c>
      <c r="L34" s="2" t="inlineStr">
        <is>
          <t>2026-09-06</t>
        </is>
      </c>
      <c r="M34" s="2" t="inlineStr">
        <is>
          <t>2026-09-14</t>
        </is>
      </c>
      <c r="N34" s="2" t="inlineStr">
        <is>
          <t>Under Review</t>
        </is>
      </c>
      <c r="O34" s="2" t="n">
        <v>1</v>
      </c>
      <c r="P34" s="2" t="inlineStr"/>
      <c r="Q34" s="2" t="inlineStr">
        <is>
          <t>2026-10-27</t>
        </is>
      </c>
      <c r="R34" s="2" t="inlineStr">
        <is>
          <t>11:30</t>
        </is>
      </c>
      <c r="S34" s="2" t="inlineStr">
        <is>
          <t>https://classroom.google.com/c/internship-data-analyst-2026</t>
        </is>
      </c>
      <c r="T34" s="2" t="inlineStr">
        <is>
          <t>https://classroom.google.com/c/submissions/stu-033_task-data-301</t>
        </is>
      </c>
      <c r="U34" s="2" t="inlineStr">
        <is>
          <t>Initial automated rubric evaluation pending human mentor sign-off.</t>
        </is>
      </c>
      <c r="V34" s="2" t="n">
        <v>50</v>
      </c>
      <c r="W34" s="2" t="inlineStr">
        <is>
          <t>In Progress</t>
        </is>
      </c>
      <c r="X34" s="2" t="inlineStr">
        <is>
          <t>Sent</t>
        </is>
      </c>
      <c r="Y34" s="2" t="inlineStr">
        <is>
          <t>2026-10-26 11:34:24</t>
        </is>
      </c>
      <c r="Z34" s="2" t="inlineStr">
        <is>
          <t>Submission received on time. Scheduled for formal mentor review.</t>
        </is>
      </c>
    </row>
    <row r="35">
      <c r="A35" s="3" t="inlineStr">
        <is>
          <t>STU-034</t>
        </is>
      </c>
      <c r="B35" s="3" t="inlineStr">
        <is>
          <t>Daniel Jones</t>
        </is>
      </c>
      <c r="C35" s="3" t="inlineStr">
        <is>
          <t>student034@example-interns.edu</t>
        </is>
      </c>
      <c r="D35" s="3" t="inlineStr">
        <is>
          <t>2026-09-05</t>
        </is>
      </c>
      <c r="E35" s="3" t="inlineStr">
        <is>
          <t>2026-12-05</t>
        </is>
      </c>
      <c r="F35" s="3" t="inlineStr">
        <is>
          <t>Cloud &amp; DevOps Engineer</t>
        </is>
      </c>
      <c r="G35" s="3" t="inlineStr">
        <is>
          <t>Rajiv Mehta</t>
        </is>
      </c>
      <c r="H35" s="3" t="inlineStr">
        <is>
          <t>rajiv.mehta@mentor-labs.org</t>
        </is>
      </c>
      <c r="I35" s="3" t="inlineStr">
        <is>
          <t>TASK-DEVO-402</t>
        </is>
      </c>
      <c r="J35" s="3" t="inlineStr">
        <is>
          <t>Kubernetes Microservices Observability with Prometheus &amp; Grafana</t>
        </is>
      </c>
      <c r="K35" s="3" t="inlineStr">
        <is>
          <t>Deploy a 3-tier microservice onto Kubernetes (Minikube / k3s). Implement metric scraping with Prometheus, custom application dashboards in Grafana, and Slack/email Alertmanager rules for pod crash and latency spikes.</t>
        </is>
      </c>
      <c r="L35" s="3" t="inlineStr">
        <is>
          <t>2026-09-07</t>
        </is>
      </c>
      <c r="M35" s="3" t="inlineStr">
        <is>
          <t>2026-09-18</t>
        </is>
      </c>
      <c r="N35" s="3" t="inlineStr">
        <is>
          <t>Under Review</t>
        </is>
      </c>
      <c r="O35" s="3" t="n">
        <v>1</v>
      </c>
      <c r="P35" s="3" t="inlineStr"/>
      <c r="Q35" s="3" t="inlineStr">
        <is>
          <t>2026-10-27</t>
        </is>
      </c>
      <c r="R35" s="3" t="inlineStr">
        <is>
          <t>11:30</t>
        </is>
      </c>
      <c r="S35" s="3" t="inlineStr">
        <is>
          <t>https://classroom.google.com/c/internship-cloud-&amp;-devops-engineer-2026</t>
        </is>
      </c>
      <c r="T35" s="3" t="inlineStr">
        <is>
          <t>https://classroom.google.com/c/submissions/stu-034_task-devo-402</t>
        </is>
      </c>
      <c r="U35" s="3" t="inlineStr">
        <is>
          <t>Initial automated rubric evaluation pending human mentor sign-off.</t>
        </is>
      </c>
      <c r="V35" s="3" t="n">
        <v>50</v>
      </c>
      <c r="W35" s="3" t="inlineStr">
        <is>
          <t>In Progress</t>
        </is>
      </c>
      <c r="X35" s="3" t="inlineStr">
        <is>
          <t>Sent</t>
        </is>
      </c>
      <c r="Y35" s="3" t="inlineStr">
        <is>
          <t>2026-10-26 11:34:24</t>
        </is>
      </c>
      <c r="Z35" s="3" t="inlineStr">
        <is>
          <t>Submission received on time. Scheduled for formal mentor review.</t>
        </is>
      </c>
    </row>
    <row r="36">
      <c r="A36" s="2" t="inlineStr">
        <is>
          <t>STU-035</t>
        </is>
      </c>
      <c r="B36" s="2" t="inlineStr">
        <is>
          <t>Emma Davis</t>
        </is>
      </c>
      <c r="C36" s="2" t="inlineStr">
        <is>
          <t>student035@example-interns.edu</t>
        </is>
      </c>
      <c r="D36" s="2" t="inlineStr">
        <is>
          <t>2026-09-06</t>
        </is>
      </c>
      <c r="E36" s="2" t="inlineStr">
        <is>
          <t>2026-12-06</t>
        </is>
      </c>
      <c r="F36" s="2" t="inlineStr">
        <is>
          <t>Mobile App Developer</t>
        </is>
      </c>
      <c r="G36" s="2" t="inlineStr">
        <is>
          <t>Marcus Chen</t>
        </is>
      </c>
      <c r="H36" s="2" t="inlineStr">
        <is>
          <t>marcus.chen@mentor-labs.org</t>
        </is>
      </c>
      <c r="I36" s="2" t="inlineStr">
        <is>
          <t>TASK-MOBL-501</t>
        </is>
      </c>
      <c r="J36" s="2" t="inlineStr">
        <is>
          <t>Cross-Platform Habit Tracker with Offline SQLite &amp; Push Alerts</t>
        </is>
      </c>
      <c r="K36" s="2" t="inlineStr">
        <is>
          <t>Build a cross-platform mobile application (React Native or Flutter) that allows users to track daily habits, streaks, and completion analytics. Implement local SQLite persistence with background push notification reminders.</t>
        </is>
      </c>
      <c r="L36" s="2" t="inlineStr">
        <is>
          <t>2026-09-08</t>
        </is>
      </c>
      <c r="M36" s="2" t="inlineStr">
        <is>
          <t>2026-09-18</t>
        </is>
      </c>
      <c r="N36" s="2" t="inlineStr">
        <is>
          <t>Under Review</t>
        </is>
      </c>
      <c r="O36" s="2" t="n">
        <v>1</v>
      </c>
      <c r="P36" s="2" t="inlineStr"/>
      <c r="Q36" s="2" t="inlineStr">
        <is>
          <t>2026-10-27</t>
        </is>
      </c>
      <c r="R36" s="2" t="inlineStr">
        <is>
          <t>11:30</t>
        </is>
      </c>
      <c r="S36" s="2" t="inlineStr">
        <is>
          <t>https://classroom.google.com/c/internship-mobile-app-developer-2026</t>
        </is>
      </c>
      <c r="T36" s="2" t="inlineStr">
        <is>
          <t>https://classroom.google.com/c/submissions/stu-035_task-mobl-501</t>
        </is>
      </c>
      <c r="U36" s="2" t="inlineStr">
        <is>
          <t>Preliminary AI Score: 40/100. Awaiting mentor sign-off.</t>
        </is>
      </c>
      <c r="V36" s="2" t="n">
        <v>50</v>
      </c>
      <c r="W36" s="2" t="inlineStr">
        <is>
          <t>In Progress</t>
        </is>
      </c>
      <c r="X36" s="2" t="inlineStr">
        <is>
          <t>Sent</t>
        </is>
      </c>
      <c r="Y36" s="2" t="inlineStr">
        <is>
          <t>2026-10-26 11:34:24</t>
        </is>
      </c>
      <c r="Z36" s="2" t="inlineStr">
        <is>
          <t>Submission received on time. Scheduled for formal mentor review.</t>
        </is>
      </c>
    </row>
    <row r="37">
      <c r="A37" s="3" t="inlineStr">
        <is>
          <t>STU-036</t>
        </is>
      </c>
      <c r="B37" s="3" t="inlineStr">
        <is>
          <t>Farhan Hernandez</t>
        </is>
      </c>
      <c r="C37" s="3" t="inlineStr">
        <is>
          <t>student036@example-interns.edu</t>
        </is>
      </c>
      <c r="D37" s="3" t="inlineStr">
        <is>
          <t>2026-09-07</t>
        </is>
      </c>
      <c r="E37" s="3" t="inlineStr">
        <is>
          <t>2026-12-07</t>
        </is>
      </c>
      <c r="F37" s="3" t="inlineStr">
        <is>
          <t>Cybersecurity Specialist</t>
        </is>
      </c>
      <c r="G37" s="3" t="inlineStr">
        <is>
          <t>Nadia Al-Mansoor</t>
        </is>
      </c>
      <c r="H37" s="3" t="inlineStr">
        <is>
          <t>nadia.mansoor@mentor-labs.org</t>
        </is>
      </c>
      <c r="I37" s="3" t="inlineStr">
        <is>
          <t>TASK-CYBR-602</t>
        </is>
      </c>
      <c r="J37" s="3" t="inlineStr">
        <is>
          <t>SOC Intrusion Detection &amp; SIEM Log Correlation Engine</t>
        </is>
      </c>
      <c r="K37" s="3" t="inlineStr">
        <is>
          <t>Construct an automated log correlation parser that ingests syslog and web access logs, detects brute-force authentication attacks and lateral movement patterns, and generates automated incident response tickets.</t>
        </is>
      </c>
      <c r="L37" s="3" t="inlineStr">
        <is>
          <t>2026-09-09</t>
        </is>
      </c>
      <c r="M37" s="3" t="inlineStr">
        <is>
          <t>2026-09-19</t>
        </is>
      </c>
      <c r="N37" s="3" t="inlineStr">
        <is>
          <t>Under Review</t>
        </is>
      </c>
      <c r="O37" s="3" t="n">
        <v>1</v>
      </c>
      <c r="P37" s="3" t="inlineStr"/>
      <c r="Q37" s="3" t="inlineStr">
        <is>
          <t>2026-10-27</t>
        </is>
      </c>
      <c r="R37" s="3" t="inlineStr">
        <is>
          <t>11:30</t>
        </is>
      </c>
      <c r="S37" s="3" t="inlineStr">
        <is>
          <t>https://classroom.google.com/c/internship-cybersecurity-specialist-2026</t>
        </is>
      </c>
      <c r="T37" s="3" t="inlineStr">
        <is>
          <t>https://classroom.google.com/c/submissions/stu-036_task-cybr-602</t>
        </is>
      </c>
      <c r="U37" s="3" t="inlineStr">
        <is>
          <t>Initial automated rubric evaluation pending human mentor sign-off.</t>
        </is>
      </c>
      <c r="V37" s="3" t="n">
        <v>50</v>
      </c>
      <c r="W37" s="3" t="inlineStr">
        <is>
          <t>In Progress</t>
        </is>
      </c>
      <c r="X37" s="3" t="inlineStr">
        <is>
          <t>Sent</t>
        </is>
      </c>
      <c r="Y37" s="3" t="inlineStr">
        <is>
          <t>2026-10-26 11:34:24</t>
        </is>
      </c>
      <c r="Z37" s="3" t="inlineStr">
        <is>
          <t>Submission received on time. Scheduled for formal mentor review.</t>
        </is>
      </c>
    </row>
    <row r="38">
      <c r="A38" s="2" t="inlineStr">
        <is>
          <t>STU-037</t>
        </is>
      </c>
      <c r="B38" s="2" t="inlineStr">
        <is>
          <t>Gita Wilson</t>
        </is>
      </c>
      <c r="C38" s="2" t="inlineStr">
        <is>
          <t>student037@example-interns.edu</t>
        </is>
      </c>
      <c r="D38" s="2" t="inlineStr">
        <is>
          <t>2026-09-08</t>
        </is>
      </c>
      <c r="E38" s="2" t="inlineStr">
        <is>
          <t>2026-12-08</t>
        </is>
      </c>
      <c r="F38" s="2" t="inlineStr">
        <is>
          <t>AI/ML Engineer</t>
        </is>
      </c>
      <c r="G38" s="2" t="inlineStr">
        <is>
          <t>Dr. Aris Thorne</t>
        </is>
      </c>
      <c r="H38" s="2" t="inlineStr">
        <is>
          <t>aris.thorne@mentor-labs.org</t>
        </is>
      </c>
      <c r="I38" s="2" t="inlineStr">
        <is>
          <t>TASK-AIML-101</t>
        </is>
      </c>
      <c r="J38" s="2" t="inlineStr">
        <is>
          <t>Customer Churn Prediction Pipeline with Scikit-Learn &amp; FastAPI</t>
        </is>
      </c>
      <c r="K38" s="2" t="inlineStr">
        <is>
          <t>Build an end-to-end churn prediction model on telecom customer data. Preprocess tabular data, train Random Forest / XGBoost, evaluate ROC-AUC, and expose inference via a FastAPI REST endpoint with Dockerfile.</t>
        </is>
      </c>
      <c r="L38" s="2" t="inlineStr">
        <is>
          <t>2026-09-10</t>
        </is>
      </c>
      <c r="M38" s="2" t="inlineStr">
        <is>
          <t>2026-09-20</t>
        </is>
      </c>
      <c r="N38" s="2" t="inlineStr">
        <is>
          <t>Under Review</t>
        </is>
      </c>
      <c r="O38" s="2" t="n">
        <v>1</v>
      </c>
      <c r="P38" s="2" t="inlineStr"/>
      <c r="Q38" s="2" t="inlineStr">
        <is>
          <t>2026-10-27</t>
        </is>
      </c>
      <c r="R38" s="2" t="inlineStr">
        <is>
          <t>11:30</t>
        </is>
      </c>
      <c r="S38" s="2" t="inlineStr">
        <is>
          <t>https://classroom.google.com/c/internship-ai-ml-engineer-2026</t>
        </is>
      </c>
      <c r="T38" s="2" t="inlineStr">
        <is>
          <t>https://classroom.google.com/c/submissions/stu-037_task-aiml-101</t>
        </is>
      </c>
      <c r="U38" s="2" t="inlineStr">
        <is>
          <t>Initial automated rubric evaluation pending human mentor sign-off.</t>
        </is>
      </c>
      <c r="V38" s="2" t="n">
        <v>50</v>
      </c>
      <c r="W38" s="2" t="inlineStr">
        <is>
          <t>In Progress</t>
        </is>
      </c>
      <c r="X38" s="2" t="inlineStr">
        <is>
          <t>Sent</t>
        </is>
      </c>
      <c r="Y38" s="2" t="inlineStr">
        <is>
          <t>2026-10-26 11:34:24</t>
        </is>
      </c>
      <c r="Z38" s="2" t="inlineStr">
        <is>
          <t>Submission received on time. Scheduled for formal mentor review.</t>
        </is>
      </c>
    </row>
    <row r="39">
      <c r="A39" s="3" t="inlineStr">
        <is>
          <t>STU-038</t>
        </is>
      </c>
      <c r="B39" s="3" t="inlineStr">
        <is>
          <t>Henry Taylor</t>
        </is>
      </c>
      <c r="C39" s="3" t="inlineStr">
        <is>
          <t>student038@example-interns.edu</t>
        </is>
      </c>
      <c r="D39" s="3" t="inlineStr">
        <is>
          <t>2026-09-09</t>
        </is>
      </c>
      <c r="E39" s="3" t="inlineStr">
        <is>
          <t>2026-12-09</t>
        </is>
      </c>
      <c r="F39" s="3" t="inlineStr">
        <is>
          <t>Full Stack Web Developer</t>
        </is>
      </c>
      <c r="G39" s="3" t="inlineStr">
        <is>
          <t>Prof. Elena Rostova</t>
        </is>
      </c>
      <c r="H39" s="3" t="inlineStr">
        <is>
          <t>elena.rostova@mentor-labs.org</t>
        </is>
      </c>
      <c r="I39" s="3" t="inlineStr">
        <is>
          <t>TASK-FSWD-202</t>
        </is>
      </c>
      <c r="J39" s="3" t="inlineStr">
        <is>
          <t>Real-Time Collaboration Kanban Board with WebSockets</t>
        </is>
      </c>
      <c r="K39" s="3" t="inlineStr">
        <is>
          <t>Develop a multi-tenant Kanban board application where updates to columns, cards, and drag-and-drop actions are synchronized in real-time across connected browser clients using WebSockets.</t>
        </is>
      </c>
      <c r="L39" s="3" t="inlineStr">
        <is>
          <t>2026-09-11</t>
        </is>
      </c>
      <c r="M39" s="3" t="inlineStr">
        <is>
          <t>2026-09-21</t>
        </is>
      </c>
      <c r="N39" s="3" t="inlineStr">
        <is>
          <t>Under Review</t>
        </is>
      </c>
      <c r="O39" s="3" t="n">
        <v>1</v>
      </c>
      <c r="P39" s="3" t="inlineStr"/>
      <c r="Q39" s="3" t="inlineStr">
        <is>
          <t>2026-10-27</t>
        </is>
      </c>
      <c r="R39" s="3" t="inlineStr">
        <is>
          <t>11:30</t>
        </is>
      </c>
      <c r="S39" s="3" t="inlineStr">
        <is>
          <t>https://classroom.google.com/c/internship-full-stack-web-developer-2026</t>
        </is>
      </c>
      <c r="T39" s="3" t="inlineStr">
        <is>
          <t>https://classroom.google.com/c/submissions/stu-038_task-fswd-202</t>
        </is>
      </c>
      <c r="U39" s="3" t="inlineStr">
        <is>
          <t>Initial automated rubric evaluation pending human mentor sign-off.</t>
        </is>
      </c>
      <c r="V39" s="3" t="n">
        <v>50</v>
      </c>
      <c r="W39" s="3" t="inlineStr">
        <is>
          <t>In Progress</t>
        </is>
      </c>
      <c r="X39" s="3" t="inlineStr">
        <is>
          <t>Sent</t>
        </is>
      </c>
      <c r="Y39" s="3" t="inlineStr">
        <is>
          <t>2026-10-26 11:34:24</t>
        </is>
      </c>
      <c r="Z39" s="3" t="inlineStr">
        <is>
          <t>Submission received on time. Scheduled for formal mentor review.</t>
        </is>
      </c>
    </row>
    <row r="40">
      <c r="A40" s="2" t="inlineStr">
        <is>
          <t>STU-039</t>
        </is>
      </c>
      <c r="B40" s="2" t="inlineStr">
        <is>
          <t>Ines Martin</t>
        </is>
      </c>
      <c r="C40" s="2" t="inlineStr">
        <is>
          <t>student039@example-interns.edu</t>
        </is>
      </c>
      <c r="D40" s="2" t="inlineStr">
        <is>
          <t>2026-09-10</t>
        </is>
      </c>
      <c r="E40" s="2" t="inlineStr">
        <is>
          <t>2026-12-10</t>
        </is>
      </c>
      <c r="F40" s="2" t="inlineStr">
        <is>
          <t>Data Analyst</t>
        </is>
      </c>
      <c r="G40" s="2" t="inlineStr">
        <is>
          <t>Sarah Jenkins</t>
        </is>
      </c>
      <c r="H40" s="2" t="inlineStr">
        <is>
          <t>sarah.jenkins@mentor-labs.org</t>
        </is>
      </c>
      <c r="I40" s="2" t="inlineStr">
        <is>
          <t>TASK-DATA-301</t>
        </is>
      </c>
      <c r="J40" s="2" t="inlineStr">
        <is>
          <t>Automated Multi-Source Retail Sales ETL &amp; KPI Dashboard</t>
        </is>
      </c>
      <c r="K40" s="2" t="inlineStr">
        <is>
          <t>Extract raw CSV and JSON transaction logs, clean nulls/outliers in Pandas, load into a star-schema database, and construct an interactive dashboard featuring MoM growth, cohort retention, and customer lifetime value.</t>
        </is>
      </c>
      <c r="L40" s="2" t="inlineStr">
        <is>
          <t>2026-09-12</t>
        </is>
      </c>
      <c r="M40" s="2" t="inlineStr">
        <is>
          <t>2026-09-20</t>
        </is>
      </c>
      <c r="N40" s="2" t="inlineStr">
        <is>
          <t>Under Review</t>
        </is>
      </c>
      <c r="O40" s="2" t="n">
        <v>1</v>
      </c>
      <c r="P40" s="2" t="inlineStr"/>
      <c r="Q40" s="2" t="inlineStr">
        <is>
          <t>2026-10-27</t>
        </is>
      </c>
      <c r="R40" s="2" t="inlineStr">
        <is>
          <t>11:30</t>
        </is>
      </c>
      <c r="S40" s="2" t="inlineStr">
        <is>
          <t>https://classroom.google.com/c/internship-data-analyst-2026</t>
        </is>
      </c>
      <c r="T40" s="2" t="inlineStr">
        <is>
          <t>https://classroom.google.com/c/submissions/stu-039_task-data-301</t>
        </is>
      </c>
      <c r="U40" s="2" t="inlineStr">
        <is>
          <t>Initial automated rubric evaluation pending human mentor sign-off.</t>
        </is>
      </c>
      <c r="V40" s="2" t="n">
        <v>50</v>
      </c>
      <c r="W40" s="2" t="inlineStr">
        <is>
          <t>In Progress</t>
        </is>
      </c>
      <c r="X40" s="2" t="inlineStr">
        <is>
          <t>Sent</t>
        </is>
      </c>
      <c r="Y40" s="2" t="inlineStr">
        <is>
          <t>2026-10-26 11:34:24</t>
        </is>
      </c>
      <c r="Z40" s="2" t="inlineStr">
        <is>
          <t>Submission received on time. Scheduled for formal mentor review.</t>
        </is>
      </c>
    </row>
    <row r="41">
      <c r="A41" s="3" t="inlineStr">
        <is>
          <t>STU-040</t>
        </is>
      </c>
      <c r="B41" s="3" t="inlineStr">
        <is>
          <t>Jack Thompson</t>
        </is>
      </c>
      <c r="C41" s="3" t="inlineStr">
        <is>
          <t>student040@example-interns.edu</t>
        </is>
      </c>
      <c r="D41" s="3" t="inlineStr">
        <is>
          <t>2026-09-11</t>
        </is>
      </c>
      <c r="E41" s="3" t="inlineStr">
        <is>
          <t>2026-12-11</t>
        </is>
      </c>
      <c r="F41" s="3" t="inlineStr">
        <is>
          <t>Cloud &amp; DevOps Engineer</t>
        </is>
      </c>
      <c r="G41" s="3" t="inlineStr">
        <is>
          <t>Rajiv Mehta</t>
        </is>
      </c>
      <c r="H41" s="3" t="inlineStr">
        <is>
          <t>rajiv.mehta@mentor-labs.org</t>
        </is>
      </c>
      <c r="I41" s="3" t="inlineStr">
        <is>
          <t>TASK-DEVO-402</t>
        </is>
      </c>
      <c r="J41" s="3" t="inlineStr">
        <is>
          <t>Kubernetes Microservices Observability with Prometheus &amp; Grafana</t>
        </is>
      </c>
      <c r="K41" s="3" t="inlineStr">
        <is>
          <t>Deploy a 3-tier microservice onto Kubernetes (Minikube / k3s). Implement metric scraping with Prometheus, custom application dashboards in Grafana, and Slack/email Alertmanager rules for pod crash and latency spikes.</t>
        </is>
      </c>
      <c r="L41" s="3" t="inlineStr">
        <is>
          <t>2026-09-03</t>
        </is>
      </c>
      <c r="M41" s="3" t="inlineStr">
        <is>
          <t>2026-09-14</t>
        </is>
      </c>
      <c r="N41" s="3" t="inlineStr">
        <is>
          <t>Under Review</t>
        </is>
      </c>
      <c r="O41" s="3" t="n">
        <v>1</v>
      </c>
      <c r="P41" s="3" t="inlineStr"/>
      <c r="Q41" s="3" t="inlineStr">
        <is>
          <t>2026-10-27</t>
        </is>
      </c>
      <c r="R41" s="3" t="inlineStr">
        <is>
          <t>11:30</t>
        </is>
      </c>
      <c r="S41" s="3" t="inlineStr">
        <is>
          <t>https://classroom.google.com/c/internship-cloud-&amp;-devops-engineer-2026</t>
        </is>
      </c>
      <c r="T41" s="3" t="inlineStr">
        <is>
          <t>https://classroom.google.com/c/submissions/stu-040_task-devo-402</t>
        </is>
      </c>
      <c r="U41" s="3" t="inlineStr">
        <is>
          <t>Preliminary AI Score: 80/100. Awaiting mentor sign-off.</t>
        </is>
      </c>
      <c r="V41" s="3" t="n">
        <v>50</v>
      </c>
      <c r="W41" s="3" t="inlineStr">
        <is>
          <t>In Progress</t>
        </is>
      </c>
      <c r="X41" s="3" t="inlineStr">
        <is>
          <t>Sent</t>
        </is>
      </c>
      <c r="Y41" s="3" t="inlineStr">
        <is>
          <t>2026-10-26 11:34:24</t>
        </is>
      </c>
      <c r="Z41" s="3" t="inlineStr">
        <is>
          <t>Submission received on time. Scheduled for formal mentor review.</t>
        </is>
      </c>
    </row>
    <row r="42">
      <c r="A42" s="2" t="inlineStr">
        <is>
          <t>STU-041</t>
        </is>
      </c>
      <c r="B42" s="2" t="inlineStr">
        <is>
          <t>Kiran Sanchez</t>
        </is>
      </c>
      <c r="C42" s="2" t="inlineStr">
        <is>
          <t>student041@example-interns.edu</t>
        </is>
      </c>
      <c r="D42" s="2" t="inlineStr">
        <is>
          <t>2026-09-12</t>
        </is>
      </c>
      <c r="E42" s="2" t="inlineStr">
        <is>
          <t>2026-12-12</t>
        </is>
      </c>
      <c r="F42" s="2" t="inlineStr">
        <is>
          <t>Mobile App Developer</t>
        </is>
      </c>
      <c r="G42" s="2" t="inlineStr">
        <is>
          <t>Marcus Chen</t>
        </is>
      </c>
      <c r="H42" s="2" t="inlineStr">
        <is>
          <t>marcus.chen@mentor-labs.org</t>
        </is>
      </c>
      <c r="I42" s="2" t="inlineStr">
        <is>
          <t>TASK-MOBL-501</t>
        </is>
      </c>
      <c r="J42" s="2" t="inlineStr">
        <is>
          <t>Cross-Platform Habit Tracker with Offline SQLite &amp; Push Alerts</t>
        </is>
      </c>
      <c r="K42" s="2" t="inlineStr">
        <is>
          <t>Build a cross-platform mobile application (React Native or Flutter) that allows users to track daily habits, streaks, and completion analytics. Implement local SQLite persistence with background push notification reminders.</t>
        </is>
      </c>
      <c r="L42" s="2" t="inlineStr">
        <is>
          <t>2026-09-04</t>
        </is>
      </c>
      <c r="M42" s="2" t="inlineStr">
        <is>
          <t>2026-09-14</t>
        </is>
      </c>
      <c r="N42" s="2" t="inlineStr">
        <is>
          <t>Corrections Required</t>
        </is>
      </c>
      <c r="O42" s="2" t="n">
        <v>1</v>
      </c>
      <c r="P42" s="2" t="inlineStr">
        <is>
          <t>2026-10-18</t>
        </is>
      </c>
      <c r="Q42" s="2" t="inlineStr">
        <is>
          <t>2026-10-28</t>
        </is>
      </c>
      <c r="R42" s="2" t="inlineStr">
        <is>
          <t>16:00</t>
        </is>
      </c>
      <c r="S42" s="2" t="inlineStr">
        <is>
          <t>https://classroom.google.com/c/internship-mobile-app-developer-2026</t>
        </is>
      </c>
      <c r="T42" s="2" t="inlineStr">
        <is>
          <t>https://classroom.google.com/c/submissions/stu-041_task-mobl-501</t>
        </is>
      </c>
      <c r="U42" s="2" t="inlineStr">
        <is>
          <t>Identified missing unit tests and insufficient error handling. Review rubric items 2 and 4.</t>
        </is>
      </c>
      <c r="V42" s="2" t="n">
        <v>40</v>
      </c>
      <c r="W42" s="2" t="inlineStr">
        <is>
          <t>In Progress</t>
        </is>
      </c>
      <c r="X42" s="2" t="inlineStr">
        <is>
          <t>Sent</t>
        </is>
      </c>
      <c r="Y42" s="2" t="inlineStr">
        <is>
          <t>2026-10-20 11:19</t>
        </is>
      </c>
      <c r="Z42" s="2" t="inlineStr">
        <is>
          <t>Corrections required on error handling and test suite. Review 2 scheduled.</t>
        </is>
      </c>
    </row>
    <row r="43">
      <c r="A43" s="3" t="inlineStr">
        <is>
          <t>STU-042</t>
        </is>
      </c>
      <c r="B43" s="3" t="inlineStr">
        <is>
          <t>Lucas Lewis</t>
        </is>
      </c>
      <c r="C43" s="3" t="inlineStr">
        <is>
          <t>student042@example-interns.edu</t>
        </is>
      </c>
      <c r="D43" s="3" t="inlineStr">
        <is>
          <t>2026-09-13</t>
        </is>
      </c>
      <c r="E43" s="3" t="inlineStr">
        <is>
          <t>2026-12-13</t>
        </is>
      </c>
      <c r="F43" s="3" t="inlineStr">
        <is>
          <t>Cybersecurity Specialist</t>
        </is>
      </c>
      <c r="G43" s="3" t="inlineStr">
        <is>
          <t>Nadia Al-Mansoor</t>
        </is>
      </c>
      <c r="H43" s="3" t="inlineStr">
        <is>
          <t>nadia.mansoor@mentor-labs.org</t>
        </is>
      </c>
      <c r="I43" s="3" t="inlineStr">
        <is>
          <t>TASK-CYBR-602</t>
        </is>
      </c>
      <c r="J43" s="3" t="inlineStr">
        <is>
          <t>SOC Intrusion Detection &amp; SIEM Log Correlation Engine</t>
        </is>
      </c>
      <c r="K43" s="3" t="inlineStr">
        <is>
          <t>Construct an automated log correlation parser that ingests syslog and web access logs, detects brute-force authentication attacks and lateral movement patterns, and generates automated incident response tickets.</t>
        </is>
      </c>
      <c r="L43" s="3" t="inlineStr">
        <is>
          <t>2026-09-05</t>
        </is>
      </c>
      <c r="M43" s="3" t="inlineStr">
        <is>
          <t>2026-09-15</t>
        </is>
      </c>
      <c r="N43" s="3" t="inlineStr">
        <is>
          <t>Corrections Required</t>
        </is>
      </c>
      <c r="O43" s="3" t="n">
        <v>1</v>
      </c>
      <c r="P43" s="3" t="inlineStr">
        <is>
          <t>2026-10-18</t>
        </is>
      </c>
      <c r="Q43" s="3" t="inlineStr">
        <is>
          <t>2026-10-28</t>
        </is>
      </c>
      <c r="R43" s="3" t="inlineStr">
        <is>
          <t>16:00</t>
        </is>
      </c>
      <c r="S43" s="3" t="inlineStr">
        <is>
          <t>https://classroom.google.com/c/internship-cybersecurity-specialist-2026</t>
        </is>
      </c>
      <c r="T43" s="3" t="inlineStr">
        <is>
          <t>https://classroom.google.com/c/submissions/stu-042_task-cybr-602</t>
        </is>
      </c>
      <c r="U43" s="3" t="inlineStr">
        <is>
          <t>Identified missing unit tests and insufficient error handling. Review rubric items 2 and 4.</t>
        </is>
      </c>
      <c r="V43" s="3" t="n">
        <v>40</v>
      </c>
      <c r="W43" s="3" t="inlineStr">
        <is>
          <t>In Progress</t>
        </is>
      </c>
      <c r="X43" s="3" t="inlineStr">
        <is>
          <t>Sent</t>
        </is>
      </c>
      <c r="Y43" s="3" t="inlineStr">
        <is>
          <t>2026-10-26 11:19</t>
        </is>
      </c>
      <c r="Z43" s="3" t="inlineStr">
        <is>
          <t>Corrections required on error handling and test suite. Review 2 scheduled.</t>
        </is>
      </c>
    </row>
    <row r="44">
      <c r="A44" s="2" t="inlineStr">
        <is>
          <t>STU-043</t>
        </is>
      </c>
      <c r="B44" s="2" t="inlineStr">
        <is>
          <t>Mei Young</t>
        </is>
      </c>
      <c r="C44" s="2" t="inlineStr">
        <is>
          <t>student043@example-interns.edu</t>
        </is>
      </c>
      <c r="D44" s="2" t="inlineStr">
        <is>
          <t>2026-09-14</t>
        </is>
      </c>
      <c r="E44" s="2" t="inlineStr">
        <is>
          <t>2026-12-14</t>
        </is>
      </c>
      <c r="F44" s="2" t="inlineStr">
        <is>
          <t>AI/ML Engineer</t>
        </is>
      </c>
      <c r="G44" s="2" t="inlineStr">
        <is>
          <t>Dr. Aris Thorne</t>
        </is>
      </c>
      <c r="H44" s="2" t="inlineStr">
        <is>
          <t>aris.thorne@mentor-labs.org</t>
        </is>
      </c>
      <c r="I44" s="2" t="inlineStr">
        <is>
          <t>TASK-AIML-101</t>
        </is>
      </c>
      <c r="J44" s="2" t="inlineStr">
        <is>
          <t>Customer Churn Prediction Pipeline with Scikit-Learn &amp; FastAPI</t>
        </is>
      </c>
      <c r="K44" s="2" t="inlineStr">
        <is>
          <t>Build an end-to-end churn prediction model on telecom customer data. Preprocess tabular data, train Random Forest / XGBoost, evaluate ROC-AUC, and expose inference via a FastAPI REST endpoint with Dockerfile.</t>
        </is>
      </c>
      <c r="L44" s="2" t="inlineStr">
        <is>
          <t>2026-09-06</t>
        </is>
      </c>
      <c r="M44" s="2" t="inlineStr">
        <is>
          <t>2026-09-16</t>
        </is>
      </c>
      <c r="N44" s="2" t="inlineStr">
        <is>
          <t>Corrections Required</t>
        </is>
      </c>
      <c r="O44" s="2" t="n">
        <v>1</v>
      </c>
      <c r="P44" s="2" t="inlineStr">
        <is>
          <t>2026-10-18</t>
        </is>
      </c>
      <c r="Q44" s="2" t="inlineStr">
        <is>
          <t>2026-10-28</t>
        </is>
      </c>
      <c r="R44" s="2" t="inlineStr">
        <is>
          <t>16:00</t>
        </is>
      </c>
      <c r="S44" s="2" t="inlineStr">
        <is>
          <t>https://classroom.google.com/c/internship-ai-ml-engineer-2026</t>
        </is>
      </c>
      <c r="T44" s="2" t="inlineStr">
        <is>
          <t>https://classroom.google.com/c/submissions/stu-043_task-aiml-101</t>
        </is>
      </c>
      <c r="U44" s="2" t="inlineStr">
        <is>
          <t>Identified missing unit tests and insufficient error handling. Review rubric items 2 and 4.</t>
        </is>
      </c>
      <c r="V44" s="2" t="n">
        <v>40</v>
      </c>
      <c r="W44" s="2" t="inlineStr">
        <is>
          <t>In Progress</t>
        </is>
      </c>
      <c r="X44" s="2" t="inlineStr">
        <is>
          <t>Sent</t>
        </is>
      </c>
      <c r="Y44" s="2" t="inlineStr">
        <is>
          <t>2026-10-25 11:19</t>
        </is>
      </c>
      <c r="Z44" s="2" t="inlineStr">
        <is>
          <t>Corrections required on error handling and test suite. Review 2 scheduled.</t>
        </is>
      </c>
    </row>
    <row r="45">
      <c r="A45" s="3" t="inlineStr">
        <is>
          <t>STU-044</t>
        </is>
      </c>
      <c r="B45" s="3" t="inlineStr">
        <is>
          <t>Nathan Wright</t>
        </is>
      </c>
      <c r="C45" s="3" t="inlineStr">
        <is>
          <t>student044@example-interns.edu</t>
        </is>
      </c>
      <c r="D45" s="3" t="inlineStr">
        <is>
          <t>2026-09-15</t>
        </is>
      </c>
      <c r="E45" s="3" t="inlineStr">
        <is>
          <t>2026-12-15</t>
        </is>
      </c>
      <c r="F45" s="3" t="inlineStr">
        <is>
          <t>Full Stack Web Developer</t>
        </is>
      </c>
      <c r="G45" s="3" t="inlineStr">
        <is>
          <t>Prof. Elena Rostova</t>
        </is>
      </c>
      <c r="H45" s="3" t="inlineStr">
        <is>
          <t>elena.rostova@mentor-labs.org</t>
        </is>
      </c>
      <c r="I45" s="3" t="inlineStr">
        <is>
          <t>TASK-FSWD-202</t>
        </is>
      </c>
      <c r="J45" s="3" t="inlineStr">
        <is>
          <t>Real-Time Collaboration Kanban Board with WebSockets</t>
        </is>
      </c>
      <c r="K45" s="3" t="inlineStr">
        <is>
          <t>Develop a multi-tenant Kanban board application where updates to columns, cards, and drag-and-drop actions are synchronized in real-time across connected browser clients using WebSockets.</t>
        </is>
      </c>
      <c r="L45" s="3" t="inlineStr">
        <is>
          <t>2026-09-07</t>
        </is>
      </c>
      <c r="M45" s="3" t="inlineStr">
        <is>
          <t>2026-09-17</t>
        </is>
      </c>
      <c r="N45" s="3" t="inlineStr">
        <is>
          <t>Corrections Required</t>
        </is>
      </c>
      <c r="O45" s="3" t="n">
        <v>1</v>
      </c>
      <c r="P45" s="3" t="inlineStr">
        <is>
          <t>2026-10-18</t>
        </is>
      </c>
      <c r="Q45" s="3" t="inlineStr">
        <is>
          <t>2026-10-28</t>
        </is>
      </c>
      <c r="R45" s="3" t="inlineStr">
        <is>
          <t>16:00</t>
        </is>
      </c>
      <c r="S45" s="3" t="inlineStr">
        <is>
          <t>https://classroom.google.com/c/internship-full-stack-web-developer-2026</t>
        </is>
      </c>
      <c r="T45" s="3" t="inlineStr">
        <is>
          <t>https://classroom.google.com/c/submissions/stu-044_task-fswd-202</t>
        </is>
      </c>
      <c r="U45" s="3" t="inlineStr">
        <is>
          <t>Identified missing unit tests and insufficient error handling. Review rubric items 2 and 4.</t>
        </is>
      </c>
      <c r="V45" s="3" t="n">
        <v>40</v>
      </c>
      <c r="W45" s="3" t="inlineStr">
        <is>
          <t>In Progress</t>
        </is>
      </c>
      <c r="X45" s="3" t="inlineStr">
        <is>
          <t>Sent</t>
        </is>
      </c>
      <c r="Y45" s="3" t="inlineStr">
        <is>
          <t>2026-10-24 11:19</t>
        </is>
      </c>
      <c r="Z45" s="3" t="inlineStr">
        <is>
          <t>Corrections required on error handling and test suite. Review 2 scheduled.</t>
        </is>
      </c>
    </row>
    <row r="46">
      <c r="A46" s="2" t="inlineStr">
        <is>
          <t>STU-045</t>
        </is>
      </c>
      <c r="B46" s="2" t="inlineStr">
        <is>
          <t>Oscar Nguyen</t>
        </is>
      </c>
      <c r="C46" s="2" t="inlineStr">
        <is>
          <t>student045@example-interns.edu</t>
        </is>
      </c>
      <c r="D46" s="2" t="inlineStr">
        <is>
          <t>2026-09-01</t>
        </is>
      </c>
      <c r="E46" s="2" t="inlineStr">
        <is>
          <t>2026-12-01</t>
        </is>
      </c>
      <c r="F46" s="2" t="inlineStr">
        <is>
          <t>Data Analyst</t>
        </is>
      </c>
      <c r="G46" s="2" t="inlineStr">
        <is>
          <t>Sarah Jenkins</t>
        </is>
      </c>
      <c r="H46" s="2" t="inlineStr">
        <is>
          <t>sarah.jenkins@mentor-labs.org</t>
        </is>
      </c>
      <c r="I46" s="2" t="inlineStr">
        <is>
          <t>TASK-DATA-301</t>
        </is>
      </c>
      <c r="J46" s="2" t="inlineStr">
        <is>
          <t>Automated Multi-Source Retail Sales ETL &amp; KPI Dashboard</t>
        </is>
      </c>
      <c r="K46" s="2" t="inlineStr">
        <is>
          <t>Extract raw CSV and JSON transaction logs, clean nulls/outliers in Pandas, load into a star-schema database, and construct an interactive dashboard featuring MoM growth, cohort retention, and customer lifetime value.</t>
        </is>
      </c>
      <c r="L46" s="2" t="inlineStr">
        <is>
          <t>2026-09-08</t>
        </is>
      </c>
      <c r="M46" s="2" t="inlineStr">
        <is>
          <t>2026-09-16</t>
        </is>
      </c>
      <c r="N46" s="2" t="inlineStr">
        <is>
          <t>Corrections Required</t>
        </is>
      </c>
      <c r="O46" s="2" t="n">
        <v>1</v>
      </c>
      <c r="P46" s="2" t="inlineStr">
        <is>
          <t>2026-10-18</t>
        </is>
      </c>
      <c r="Q46" s="2" t="inlineStr">
        <is>
          <t>2026-10-28</t>
        </is>
      </c>
      <c r="R46" s="2" t="inlineStr">
        <is>
          <t>16:00</t>
        </is>
      </c>
      <c r="S46" s="2" t="inlineStr">
        <is>
          <t>https://classroom.google.com/c/internship-data-analyst-2026</t>
        </is>
      </c>
      <c r="T46" s="2" t="inlineStr">
        <is>
          <t>https://classroom.google.com/c/submissions/stu-045_task-data-301</t>
        </is>
      </c>
      <c r="U46" s="2" t="inlineStr">
        <is>
          <t>Identified missing unit tests and insufficient error handling. Review rubric items 2 and 4.</t>
        </is>
      </c>
      <c r="V46" s="2" t="n">
        <v>40</v>
      </c>
      <c r="W46" s="2" t="inlineStr">
        <is>
          <t>In Progress</t>
        </is>
      </c>
      <c r="X46" s="2" t="inlineStr">
        <is>
          <t>Sent</t>
        </is>
      </c>
      <c r="Y46" s="2" t="inlineStr">
        <is>
          <t>2026-10-23 11:19</t>
        </is>
      </c>
      <c r="Z46" s="2" t="inlineStr">
        <is>
          <t>Corrections required on error handling and test suite. Review 2 scheduled.</t>
        </is>
      </c>
    </row>
    <row r="47">
      <c r="A47" s="3" t="inlineStr">
        <is>
          <t>STU-046</t>
        </is>
      </c>
      <c r="B47" s="3" t="inlineStr">
        <is>
          <t>Pooja Green</t>
        </is>
      </c>
      <c r="C47" s="3" t="inlineStr">
        <is>
          <t>student046@example-interns.edu</t>
        </is>
      </c>
      <c r="D47" s="3" t="inlineStr">
        <is>
          <t>2026-09-02</t>
        </is>
      </c>
      <c r="E47" s="3" t="inlineStr">
        <is>
          <t>2026-12-02</t>
        </is>
      </c>
      <c r="F47" s="3" t="inlineStr">
        <is>
          <t>Cloud &amp; DevOps Engineer</t>
        </is>
      </c>
      <c r="G47" s="3" t="inlineStr">
        <is>
          <t>Rajiv Mehta</t>
        </is>
      </c>
      <c r="H47" s="3" t="inlineStr">
        <is>
          <t>rajiv.mehta@mentor-labs.org</t>
        </is>
      </c>
      <c r="I47" s="3" t="inlineStr">
        <is>
          <t>TASK-DEVO-402</t>
        </is>
      </c>
      <c r="J47" s="3" t="inlineStr">
        <is>
          <t>Kubernetes Microservices Observability with Prometheus &amp; Grafana</t>
        </is>
      </c>
      <c r="K47" s="3" t="inlineStr">
        <is>
          <t>Deploy a 3-tier microservice onto Kubernetes (Minikube / k3s). Implement metric scraping with Prometheus, custom application dashboards in Grafana, and Slack/email Alertmanager rules for pod crash and latency spikes.</t>
        </is>
      </c>
      <c r="L47" s="3" t="inlineStr">
        <is>
          <t>2026-09-09</t>
        </is>
      </c>
      <c r="M47" s="3" t="inlineStr">
        <is>
          <t>2026-09-20</t>
        </is>
      </c>
      <c r="N47" s="3" t="inlineStr">
        <is>
          <t>Corrections Required</t>
        </is>
      </c>
      <c r="O47" s="3" t="n">
        <v>1</v>
      </c>
      <c r="P47" s="3" t="inlineStr">
        <is>
          <t>2026-10-18</t>
        </is>
      </c>
      <c r="Q47" s="3" t="inlineStr">
        <is>
          <t>2026-10-28</t>
        </is>
      </c>
      <c r="R47" s="3" t="inlineStr">
        <is>
          <t>16:00</t>
        </is>
      </c>
      <c r="S47" s="3" t="inlineStr">
        <is>
          <t>https://classroom.google.com/c/internship-cloud-&amp;-devops-engineer-2026</t>
        </is>
      </c>
      <c r="T47" s="3" t="inlineStr">
        <is>
          <t>https://classroom.google.com/c/submissions/stu-046_task-devo-402</t>
        </is>
      </c>
      <c r="U47" s="3" t="inlineStr">
        <is>
          <t>Identified missing unit tests and insufficient error handling. Review rubric items 2 and 4.</t>
        </is>
      </c>
      <c r="V47" s="3" t="n">
        <v>40</v>
      </c>
      <c r="W47" s="3" t="inlineStr">
        <is>
          <t>In Progress</t>
        </is>
      </c>
      <c r="X47" s="3" t="inlineStr">
        <is>
          <t>Sent</t>
        </is>
      </c>
      <c r="Y47" s="3" t="inlineStr">
        <is>
          <t>2026-10-22 11:19</t>
        </is>
      </c>
      <c r="Z47" s="3" t="inlineStr">
        <is>
          <t>Corrections required on error handling and test suite. Review 2 scheduled.</t>
        </is>
      </c>
    </row>
    <row r="48">
      <c r="A48" s="2" t="inlineStr">
        <is>
          <t>STU-047</t>
        </is>
      </c>
      <c r="B48" s="2" t="inlineStr">
        <is>
          <t>Rahul Baker</t>
        </is>
      </c>
      <c r="C48" s="2" t="inlineStr">
        <is>
          <t>student047@example-interns.edu</t>
        </is>
      </c>
      <c r="D48" s="2" t="inlineStr">
        <is>
          <t>2026-09-03</t>
        </is>
      </c>
      <c r="E48" s="2" t="inlineStr">
        <is>
          <t>2026-12-03</t>
        </is>
      </c>
      <c r="F48" s="2" t="inlineStr">
        <is>
          <t>Mobile App Developer</t>
        </is>
      </c>
      <c r="G48" s="2" t="inlineStr">
        <is>
          <t>Marcus Chen</t>
        </is>
      </c>
      <c r="H48" s="2" t="inlineStr">
        <is>
          <t>marcus.chen@mentor-labs.org</t>
        </is>
      </c>
      <c r="I48" s="2" t="inlineStr">
        <is>
          <t>TASK-MOBL-501</t>
        </is>
      </c>
      <c r="J48" s="2" t="inlineStr">
        <is>
          <t>Cross-Platform Habit Tracker with Offline SQLite &amp; Push Alerts</t>
        </is>
      </c>
      <c r="K48" s="2" t="inlineStr">
        <is>
          <t>Build a cross-platform mobile application (React Native or Flutter) that allows users to track daily habits, streaks, and completion analytics. Implement local SQLite persistence with background push notification reminders.</t>
        </is>
      </c>
      <c r="L48" s="2" t="inlineStr">
        <is>
          <t>2026-09-10</t>
        </is>
      </c>
      <c r="M48" s="2" t="inlineStr">
        <is>
          <t>2026-09-20</t>
        </is>
      </c>
      <c r="N48" s="2" t="inlineStr">
        <is>
          <t>Corrections Required</t>
        </is>
      </c>
      <c r="O48" s="2" t="n">
        <v>1</v>
      </c>
      <c r="P48" s="2" t="inlineStr">
        <is>
          <t>2026-10-18</t>
        </is>
      </c>
      <c r="Q48" s="2" t="inlineStr">
        <is>
          <t>2026-10-28</t>
        </is>
      </c>
      <c r="R48" s="2" t="inlineStr">
        <is>
          <t>16:00</t>
        </is>
      </c>
      <c r="S48" s="2" t="inlineStr">
        <is>
          <t>https://classroom.google.com/c/internship-mobile-app-developer-2026</t>
        </is>
      </c>
      <c r="T48" s="2" t="inlineStr">
        <is>
          <t>https://classroom.google.com/c/submissions/stu-047_task-mobl-501</t>
        </is>
      </c>
      <c r="U48" s="2" t="inlineStr">
        <is>
          <t>Identified missing unit tests and insufficient error handling. Review rubric items 2 and 4.</t>
        </is>
      </c>
      <c r="V48" s="2" t="n">
        <v>40</v>
      </c>
      <c r="W48" s="2" t="inlineStr">
        <is>
          <t>In Progress</t>
        </is>
      </c>
      <c r="X48" s="2" t="inlineStr">
        <is>
          <t>Sent</t>
        </is>
      </c>
      <c r="Y48" s="2" t="inlineStr">
        <is>
          <t>2026-10-21 11:19</t>
        </is>
      </c>
      <c r="Z48" s="2" t="inlineStr">
        <is>
          <t>Corrections required on error handling and test suite. Review 2 scheduled.</t>
        </is>
      </c>
    </row>
    <row r="49">
      <c r="A49" s="3" t="inlineStr">
        <is>
          <t>STU-048</t>
        </is>
      </c>
      <c r="B49" s="3" t="inlineStr">
        <is>
          <t>Sara Campbell</t>
        </is>
      </c>
      <c r="C49" s="3" t="inlineStr">
        <is>
          <t>student048@example-interns.edu</t>
        </is>
      </c>
      <c r="D49" s="3" t="inlineStr">
        <is>
          <t>2026-09-04</t>
        </is>
      </c>
      <c r="E49" s="3" t="inlineStr">
        <is>
          <t>2026-12-04</t>
        </is>
      </c>
      <c r="F49" s="3" t="inlineStr">
        <is>
          <t>Cybersecurity Specialist</t>
        </is>
      </c>
      <c r="G49" s="3" t="inlineStr">
        <is>
          <t>Nadia Al-Mansoor</t>
        </is>
      </c>
      <c r="H49" s="3" t="inlineStr">
        <is>
          <t>nadia.mansoor@mentor-labs.org</t>
        </is>
      </c>
      <c r="I49" s="3" t="inlineStr">
        <is>
          <t>TASK-CYBR-602</t>
        </is>
      </c>
      <c r="J49" s="3" t="inlineStr">
        <is>
          <t>SOC Intrusion Detection &amp; SIEM Log Correlation Engine</t>
        </is>
      </c>
      <c r="K49" s="3" t="inlineStr">
        <is>
          <t>Construct an automated log correlation parser that ingests syslog and web access logs, detects brute-force authentication attacks and lateral movement patterns, and generates automated incident response tickets.</t>
        </is>
      </c>
      <c r="L49" s="3" t="inlineStr">
        <is>
          <t>2026-09-11</t>
        </is>
      </c>
      <c r="M49" s="3" t="inlineStr">
        <is>
          <t>2026-09-21</t>
        </is>
      </c>
      <c r="N49" s="3" t="inlineStr">
        <is>
          <t>Corrections Required</t>
        </is>
      </c>
      <c r="O49" s="3" t="n">
        <v>1</v>
      </c>
      <c r="P49" s="3" t="inlineStr">
        <is>
          <t>2026-10-18</t>
        </is>
      </c>
      <c r="Q49" s="3" t="inlineStr">
        <is>
          <t>2026-10-28</t>
        </is>
      </c>
      <c r="R49" s="3" t="inlineStr">
        <is>
          <t>16:00</t>
        </is>
      </c>
      <c r="S49" s="3" t="inlineStr">
        <is>
          <t>https://classroom.google.com/c/internship-cybersecurity-specialist-2026</t>
        </is>
      </c>
      <c r="T49" s="3" t="inlineStr">
        <is>
          <t>https://classroom.google.com/c/submissions/stu-048_task-cybr-602</t>
        </is>
      </c>
      <c r="U49" s="3" t="inlineStr">
        <is>
          <t>Identified missing unit tests and insufficient error handling. Review rubric items 2 and 4.</t>
        </is>
      </c>
      <c r="V49" s="3" t="n">
        <v>40</v>
      </c>
      <c r="W49" s="3" t="inlineStr">
        <is>
          <t>In Progress</t>
        </is>
      </c>
      <c r="X49" s="3" t="inlineStr">
        <is>
          <t>Sent</t>
        </is>
      </c>
      <c r="Y49" s="3" t="inlineStr">
        <is>
          <t>2026-10-20 11:19</t>
        </is>
      </c>
      <c r="Z49" s="3" t="inlineStr">
        <is>
          <t>Corrections required on error handling and test suite. Review 2 scheduled.</t>
        </is>
      </c>
    </row>
    <row r="50">
      <c r="A50" s="2" t="inlineStr">
        <is>
          <t>STU-049</t>
        </is>
      </c>
      <c r="B50" s="2" t="inlineStr">
        <is>
          <t>Tom Sharma</t>
        </is>
      </c>
      <c r="C50" s="2" t="inlineStr">
        <is>
          <t>student049@example-interns.edu</t>
        </is>
      </c>
      <c r="D50" s="2" t="inlineStr">
        <is>
          <t>2026-09-05</t>
        </is>
      </c>
      <c r="E50" s="2" t="inlineStr">
        <is>
          <t>2026-12-05</t>
        </is>
      </c>
      <c r="F50" s="2" t="inlineStr">
        <is>
          <t>AI/ML Engineer</t>
        </is>
      </c>
      <c r="G50" s="2" t="inlineStr">
        <is>
          <t>Dr. Aris Thorne</t>
        </is>
      </c>
      <c r="H50" s="2" t="inlineStr">
        <is>
          <t>aris.thorne@mentor-labs.org</t>
        </is>
      </c>
      <c r="I50" s="2" t="inlineStr">
        <is>
          <t>TASK-AIML-101</t>
        </is>
      </c>
      <c r="J50" s="2" t="inlineStr">
        <is>
          <t>Customer Churn Prediction Pipeline with Scikit-Learn &amp; FastAPI</t>
        </is>
      </c>
      <c r="K50" s="2" t="inlineStr">
        <is>
          <t>Build an end-to-end churn prediction model on telecom customer data. Preprocess tabular data, train Random Forest / XGBoost, evaluate ROC-AUC, and expose inference via a FastAPI REST endpoint with Dockerfile.</t>
        </is>
      </c>
      <c r="L50" s="2" t="inlineStr">
        <is>
          <t>2026-09-12</t>
        </is>
      </c>
      <c r="M50" s="2" t="inlineStr">
        <is>
          <t>2026-09-22</t>
        </is>
      </c>
      <c r="N50" s="2" t="inlineStr">
        <is>
          <t>Corrections Required</t>
        </is>
      </c>
      <c r="O50" s="2" t="n">
        <v>1</v>
      </c>
      <c r="P50" s="2" t="inlineStr">
        <is>
          <t>2026-10-18</t>
        </is>
      </c>
      <c r="Q50" s="2" t="inlineStr">
        <is>
          <t>2026-10-28</t>
        </is>
      </c>
      <c r="R50" s="2" t="inlineStr">
        <is>
          <t>16:00</t>
        </is>
      </c>
      <c r="S50" s="2" t="inlineStr">
        <is>
          <t>https://classroom.google.com/c/internship-ai-ml-engineer-2026</t>
        </is>
      </c>
      <c r="T50" s="2" t="inlineStr">
        <is>
          <t>https://classroom.google.com/c/submissions/stu-049_task-aiml-101</t>
        </is>
      </c>
      <c r="U50" s="2" t="inlineStr">
        <is>
          <t>Identified missing unit tests and insufficient error handling. Review rubric items 2 and 4.</t>
        </is>
      </c>
      <c r="V50" s="2" t="n">
        <v>40</v>
      </c>
      <c r="W50" s="2" t="inlineStr">
        <is>
          <t>In Progress</t>
        </is>
      </c>
      <c r="X50" s="2" t="inlineStr">
        <is>
          <t>Sent</t>
        </is>
      </c>
      <c r="Y50" s="2" t="inlineStr">
        <is>
          <t>2026-10-26 11:19</t>
        </is>
      </c>
      <c r="Z50" s="2" t="inlineStr">
        <is>
          <t>Corrections required on error handling and test suite. Review 2 scheduled.</t>
        </is>
      </c>
    </row>
    <row r="51">
      <c r="A51" s="3" t="inlineStr">
        <is>
          <t>STU-050</t>
        </is>
      </c>
      <c r="B51" s="3" t="inlineStr">
        <is>
          <t>Valeria Williams</t>
        </is>
      </c>
      <c r="C51" s="3" t="inlineStr">
        <is>
          <t>student050@example-interns.edu</t>
        </is>
      </c>
      <c r="D51" s="3" t="inlineStr">
        <is>
          <t>2026-09-06</t>
        </is>
      </c>
      <c r="E51" s="3" t="inlineStr">
        <is>
          <t>2026-12-06</t>
        </is>
      </c>
      <c r="F51" s="3" t="inlineStr">
        <is>
          <t>Full Stack Web Developer</t>
        </is>
      </c>
      <c r="G51" s="3" t="inlineStr">
        <is>
          <t>Prof. Elena Rostova</t>
        </is>
      </c>
      <c r="H51" s="3" t="inlineStr">
        <is>
          <t>elena.rostova@mentor-labs.org</t>
        </is>
      </c>
      <c r="I51" s="3" t="inlineStr">
        <is>
          <t>TASK-FSWD-202</t>
        </is>
      </c>
      <c r="J51" s="3" t="inlineStr">
        <is>
          <t>Real-Time Collaboration Kanban Board with WebSockets</t>
        </is>
      </c>
      <c r="K51" s="3" t="inlineStr">
        <is>
          <t>Develop a multi-tenant Kanban board application where updates to columns, cards, and drag-and-drop actions are synchronized in real-time across connected browser clients using WebSockets.</t>
        </is>
      </c>
      <c r="L51" s="3" t="inlineStr">
        <is>
          <t>2026-09-03</t>
        </is>
      </c>
      <c r="M51" s="3" t="inlineStr">
        <is>
          <t>2026-09-13</t>
        </is>
      </c>
      <c r="N51" s="3" t="inlineStr">
        <is>
          <t>Corrections Required</t>
        </is>
      </c>
      <c r="O51" s="3" t="n">
        <v>1</v>
      </c>
      <c r="P51" s="3" t="inlineStr">
        <is>
          <t>2026-10-18</t>
        </is>
      </c>
      <c r="Q51" s="3" t="inlineStr">
        <is>
          <t>2026-10-28</t>
        </is>
      </c>
      <c r="R51" s="3" t="inlineStr">
        <is>
          <t>16:00</t>
        </is>
      </c>
      <c r="S51" s="3" t="inlineStr">
        <is>
          <t>https://classroom.google.com/c/internship-full-stack-web-developer-2026</t>
        </is>
      </c>
      <c r="T51" s="3" t="inlineStr">
        <is>
          <t>https://classroom.google.com/c/submissions/stu-050_task-fswd-202</t>
        </is>
      </c>
      <c r="U51" s="3" t="inlineStr">
        <is>
          <t>Identified missing unit tests and insufficient error handling. Review rubric items 2 and 4.</t>
        </is>
      </c>
      <c r="V51" s="3" t="n">
        <v>40</v>
      </c>
      <c r="W51" s="3" t="inlineStr">
        <is>
          <t>In Progress</t>
        </is>
      </c>
      <c r="X51" s="3" t="inlineStr">
        <is>
          <t>Sent</t>
        </is>
      </c>
      <c r="Y51" s="3" t="inlineStr">
        <is>
          <t>2026-10-25 11:19</t>
        </is>
      </c>
      <c r="Z51" s="3" t="inlineStr">
        <is>
          <t>Corrections required on error handling and test suite. Review 2 scheduled.</t>
        </is>
      </c>
    </row>
    <row r="52">
      <c r="A52" s="2" t="inlineStr">
        <is>
          <t>STU-051</t>
        </is>
      </c>
      <c r="B52" s="2" t="inlineStr">
        <is>
          <t>Aarav Garcia</t>
        </is>
      </c>
      <c r="C52" s="2" t="inlineStr">
        <is>
          <t>student051@example-interns.edu</t>
        </is>
      </c>
      <c r="D52" s="2" t="inlineStr">
        <is>
          <t>2026-09-07</t>
        </is>
      </c>
      <c r="E52" s="2" t="inlineStr">
        <is>
          <t>2026-12-07</t>
        </is>
      </c>
      <c r="F52" s="2" t="inlineStr">
        <is>
          <t>Data Analyst</t>
        </is>
      </c>
      <c r="G52" s="2" t="inlineStr">
        <is>
          <t>Sarah Jenkins</t>
        </is>
      </c>
      <c r="H52" s="2" t="inlineStr">
        <is>
          <t>sarah.jenkins@mentor-labs.org</t>
        </is>
      </c>
      <c r="I52" s="2" t="inlineStr">
        <is>
          <t>TASK-DATA-301</t>
        </is>
      </c>
      <c r="J52" s="2" t="inlineStr">
        <is>
          <t>Automated Multi-Source Retail Sales ETL &amp; KPI Dashboard</t>
        </is>
      </c>
      <c r="K52" s="2" t="inlineStr">
        <is>
          <t>Extract raw CSV and JSON transaction logs, clean nulls/outliers in Pandas, load into a star-schema database, and construct an interactive dashboard featuring MoM growth, cohort retention, and customer lifetime value.</t>
        </is>
      </c>
      <c r="L52" s="2" t="inlineStr">
        <is>
          <t>2026-09-04</t>
        </is>
      </c>
      <c r="M52" s="2" t="inlineStr">
        <is>
          <t>2026-09-12</t>
        </is>
      </c>
      <c r="N52" s="2" t="inlineStr">
        <is>
          <t>Corrections Required</t>
        </is>
      </c>
      <c r="O52" s="2" t="n">
        <v>1</v>
      </c>
      <c r="P52" s="2" t="inlineStr">
        <is>
          <t>2026-10-18</t>
        </is>
      </c>
      <c r="Q52" s="2" t="inlineStr">
        <is>
          <t>2026-10-28</t>
        </is>
      </c>
      <c r="R52" s="2" t="inlineStr">
        <is>
          <t>16:00</t>
        </is>
      </c>
      <c r="S52" s="2" t="inlineStr">
        <is>
          <t>https://classroom.google.com/c/internship-data-analyst-2026</t>
        </is>
      </c>
      <c r="T52" s="2" t="inlineStr">
        <is>
          <t>https://classroom.google.com/c/submissions/stu-051_task-data-301</t>
        </is>
      </c>
      <c r="U52" s="2" t="inlineStr">
        <is>
          <t>Identified missing unit tests and insufficient error handling. Review rubric items 2 and 4.</t>
        </is>
      </c>
      <c r="V52" s="2" t="n">
        <v>40</v>
      </c>
      <c r="W52" s="2" t="inlineStr">
        <is>
          <t>In Progress</t>
        </is>
      </c>
      <c r="X52" s="2" t="inlineStr">
        <is>
          <t>Sent</t>
        </is>
      </c>
      <c r="Y52" s="2" t="inlineStr">
        <is>
          <t>2026-10-24 11:19</t>
        </is>
      </c>
      <c r="Z52" s="2" t="inlineStr">
        <is>
          <t>Corrections required on error handling and test suite. Review 2 scheduled.</t>
        </is>
      </c>
    </row>
    <row r="53">
      <c r="A53" s="3" t="inlineStr">
        <is>
          <t>STU-052</t>
        </is>
      </c>
      <c r="B53" s="3" t="inlineStr">
        <is>
          <t>Aditi Rodriguez</t>
        </is>
      </c>
      <c r="C53" s="3" t="inlineStr">
        <is>
          <t>student052@example-interns.edu</t>
        </is>
      </c>
      <c r="D53" s="3" t="inlineStr">
        <is>
          <t>2026-09-08</t>
        </is>
      </c>
      <c r="E53" s="3" t="inlineStr">
        <is>
          <t>2026-12-08</t>
        </is>
      </c>
      <c r="F53" s="3" t="inlineStr">
        <is>
          <t>Cloud &amp; DevOps Engineer</t>
        </is>
      </c>
      <c r="G53" s="3" t="inlineStr">
        <is>
          <t>Rajiv Mehta</t>
        </is>
      </c>
      <c r="H53" s="3" t="inlineStr">
        <is>
          <t>rajiv.mehta@mentor-labs.org</t>
        </is>
      </c>
      <c r="I53" s="3" t="inlineStr">
        <is>
          <t>TASK-DEVO-402</t>
        </is>
      </c>
      <c r="J53" s="3" t="inlineStr">
        <is>
          <t>Kubernetes Microservices Observability with Prometheus &amp; Grafana</t>
        </is>
      </c>
      <c r="K53" s="3" t="inlineStr">
        <is>
          <t>Deploy a 3-tier microservice onto Kubernetes (Minikube / k3s). Implement metric scraping with Prometheus, custom application dashboards in Grafana, and Slack/email Alertmanager rules for pod crash and latency spikes.</t>
        </is>
      </c>
      <c r="L53" s="3" t="inlineStr">
        <is>
          <t>2026-09-05</t>
        </is>
      </c>
      <c r="M53" s="3" t="inlineStr">
        <is>
          <t>2026-09-16</t>
        </is>
      </c>
      <c r="N53" s="3" t="inlineStr">
        <is>
          <t>Corrections Required</t>
        </is>
      </c>
      <c r="O53" s="3" t="n">
        <v>1</v>
      </c>
      <c r="P53" s="3" t="inlineStr">
        <is>
          <t>2026-10-18</t>
        </is>
      </c>
      <c r="Q53" s="3" t="inlineStr">
        <is>
          <t>2026-10-28</t>
        </is>
      </c>
      <c r="R53" s="3" t="inlineStr">
        <is>
          <t>16:00</t>
        </is>
      </c>
      <c r="S53" s="3" t="inlineStr">
        <is>
          <t>https://classroom.google.com/c/internship-cloud-&amp;-devops-engineer-2026</t>
        </is>
      </c>
      <c r="T53" s="3" t="inlineStr">
        <is>
          <t>https://classroom.google.com/c/submissions/stu-052_task-devo-402</t>
        </is>
      </c>
      <c r="U53" s="3" t="inlineStr">
        <is>
          <t>Identified missing unit tests and insufficient error handling. Review rubric items 2 and 4.</t>
        </is>
      </c>
      <c r="V53" s="3" t="n">
        <v>40</v>
      </c>
      <c r="W53" s="3" t="inlineStr">
        <is>
          <t>In Progress</t>
        </is>
      </c>
      <c r="X53" s="3" t="inlineStr">
        <is>
          <t>Sent</t>
        </is>
      </c>
      <c r="Y53" s="3" t="inlineStr">
        <is>
          <t>2026-10-23 11:19</t>
        </is>
      </c>
      <c r="Z53" s="3" t="inlineStr">
        <is>
          <t>Corrections required on error handling and test suite. Review 2 scheduled.</t>
        </is>
      </c>
    </row>
    <row r="54">
      <c r="A54" s="2" t="inlineStr">
        <is>
          <t>STU-053</t>
        </is>
      </c>
      <c r="B54" s="2" t="inlineStr">
        <is>
          <t>Alexander Lopez</t>
        </is>
      </c>
      <c r="C54" s="2" t="inlineStr">
        <is>
          <t>student053@example-interns.edu</t>
        </is>
      </c>
      <c r="D54" s="2" t="inlineStr">
        <is>
          <t>2026-09-09</t>
        </is>
      </c>
      <c r="E54" s="2" t="inlineStr">
        <is>
          <t>2026-12-09</t>
        </is>
      </c>
      <c r="F54" s="2" t="inlineStr">
        <is>
          <t>Mobile App Developer</t>
        </is>
      </c>
      <c r="G54" s="2" t="inlineStr">
        <is>
          <t>Marcus Chen</t>
        </is>
      </c>
      <c r="H54" s="2" t="inlineStr">
        <is>
          <t>marcus.chen@mentor-labs.org</t>
        </is>
      </c>
      <c r="I54" s="2" t="inlineStr">
        <is>
          <t>TASK-MOBL-501</t>
        </is>
      </c>
      <c r="J54" s="2" t="inlineStr">
        <is>
          <t>Cross-Platform Habit Tracker with Offline SQLite &amp; Push Alerts</t>
        </is>
      </c>
      <c r="K54" s="2" t="inlineStr">
        <is>
          <t>Build a cross-platform mobile application (React Native or Flutter) that allows users to track daily habits, streaks, and completion analytics. Implement local SQLite persistence with background push notification reminders.</t>
        </is>
      </c>
      <c r="L54" s="2" t="inlineStr">
        <is>
          <t>2026-09-06</t>
        </is>
      </c>
      <c r="M54" s="2" t="inlineStr">
        <is>
          <t>2026-09-16</t>
        </is>
      </c>
      <c r="N54" s="2" t="inlineStr">
        <is>
          <t>Corrections Required</t>
        </is>
      </c>
      <c r="O54" s="2" t="n">
        <v>1</v>
      </c>
      <c r="P54" s="2" t="inlineStr">
        <is>
          <t>2026-10-18</t>
        </is>
      </c>
      <c r="Q54" s="2" t="inlineStr">
        <is>
          <t>2026-10-28</t>
        </is>
      </c>
      <c r="R54" s="2" t="inlineStr">
        <is>
          <t>16:00</t>
        </is>
      </c>
      <c r="S54" s="2" t="inlineStr">
        <is>
          <t>https://classroom.google.com/c/internship-mobile-app-developer-2026</t>
        </is>
      </c>
      <c r="T54" s="2" t="inlineStr">
        <is>
          <t>https://classroom.google.com/c/submissions/stu-053_task-mobl-501</t>
        </is>
      </c>
      <c r="U54" s="2" t="inlineStr">
        <is>
          <t>Identified missing unit tests and insufficient error handling. Review rubric items 2 and 4.</t>
        </is>
      </c>
      <c r="V54" s="2" t="n">
        <v>40</v>
      </c>
      <c r="W54" s="2" t="inlineStr">
        <is>
          <t>In Progress</t>
        </is>
      </c>
      <c r="X54" s="2" t="inlineStr">
        <is>
          <t>Sent</t>
        </is>
      </c>
      <c r="Y54" s="2" t="inlineStr">
        <is>
          <t>2026-10-22 11:19</t>
        </is>
      </c>
      <c r="Z54" s="2" t="inlineStr">
        <is>
          <t>Corrections required on error handling and test suite. Review 2 scheduled.</t>
        </is>
      </c>
    </row>
    <row r="55">
      <c r="A55" s="3" t="inlineStr">
        <is>
          <t>STU-054</t>
        </is>
      </c>
      <c r="B55" s="3" t="inlineStr">
        <is>
          <t>Amara Anderson</t>
        </is>
      </c>
      <c r="C55" s="3" t="inlineStr">
        <is>
          <t>student054@example-interns.edu</t>
        </is>
      </c>
      <c r="D55" s="3" t="inlineStr">
        <is>
          <t>2026-09-10</t>
        </is>
      </c>
      <c r="E55" s="3" t="inlineStr">
        <is>
          <t>2026-12-10</t>
        </is>
      </c>
      <c r="F55" s="3" t="inlineStr">
        <is>
          <t>Cybersecurity Specialist</t>
        </is>
      </c>
      <c r="G55" s="3" t="inlineStr">
        <is>
          <t>Nadia Al-Mansoor</t>
        </is>
      </c>
      <c r="H55" s="3" t="inlineStr">
        <is>
          <t>nadia.mansoor@mentor-labs.org</t>
        </is>
      </c>
      <c r="I55" s="3" t="inlineStr">
        <is>
          <t>TASK-CYBR-602</t>
        </is>
      </c>
      <c r="J55" s="3" t="inlineStr">
        <is>
          <t>SOC Intrusion Detection &amp; SIEM Log Correlation Engine</t>
        </is>
      </c>
      <c r="K55" s="3" t="inlineStr">
        <is>
          <t>Construct an automated log correlation parser that ingests syslog and web access logs, detects brute-force authentication attacks and lateral movement patterns, and generates automated incident response tickets.</t>
        </is>
      </c>
      <c r="L55" s="3" t="inlineStr">
        <is>
          <t>2026-09-07</t>
        </is>
      </c>
      <c r="M55" s="3" t="inlineStr">
        <is>
          <t>2026-09-17</t>
        </is>
      </c>
      <c r="N55" s="3" t="inlineStr">
        <is>
          <t>Corrections Required</t>
        </is>
      </c>
      <c r="O55" s="3" t="n">
        <v>1</v>
      </c>
      <c r="P55" s="3" t="inlineStr">
        <is>
          <t>2026-10-18</t>
        </is>
      </c>
      <c r="Q55" s="3" t="inlineStr">
        <is>
          <t>2026-10-28</t>
        </is>
      </c>
      <c r="R55" s="3" t="inlineStr">
        <is>
          <t>16:00</t>
        </is>
      </c>
      <c r="S55" s="3" t="inlineStr">
        <is>
          <t>https://classroom.google.com/c/internship-cybersecurity-specialist-2026</t>
        </is>
      </c>
      <c r="T55" s="3" t="inlineStr">
        <is>
          <t>https://classroom.google.com/c/submissions/stu-054_task-cybr-602</t>
        </is>
      </c>
      <c r="U55" s="3" t="inlineStr">
        <is>
          <t>Identified missing unit tests and insufficient error handling. Review rubric items 2 and 4.</t>
        </is>
      </c>
      <c r="V55" s="3" t="n">
        <v>40</v>
      </c>
      <c r="W55" s="3" t="inlineStr">
        <is>
          <t>In Progress</t>
        </is>
      </c>
      <c r="X55" s="3" t="inlineStr">
        <is>
          <t>Sent</t>
        </is>
      </c>
      <c r="Y55" s="3" t="inlineStr">
        <is>
          <t>2026-10-21 11:19</t>
        </is>
      </c>
      <c r="Z55" s="3" t="inlineStr">
        <is>
          <t>Corrections required on error handling and test suite. Review 2 scheduled.</t>
        </is>
      </c>
    </row>
    <row r="56">
      <c r="A56" s="2" t="inlineStr">
        <is>
          <t>STU-055</t>
        </is>
      </c>
      <c r="B56" s="2" t="inlineStr">
        <is>
          <t>Carlos Moore</t>
        </is>
      </c>
      <c r="C56" s="2" t="inlineStr">
        <is>
          <t>student055@example-interns.edu</t>
        </is>
      </c>
      <c r="D56" s="2" t="inlineStr">
        <is>
          <t>2026-09-11</t>
        </is>
      </c>
      <c r="E56" s="2" t="inlineStr">
        <is>
          <t>2026-12-11</t>
        </is>
      </c>
      <c r="F56" s="2" t="inlineStr">
        <is>
          <t>AI/ML Engineer</t>
        </is>
      </c>
      <c r="G56" s="2" t="inlineStr">
        <is>
          <t>Dr. Aris Thorne</t>
        </is>
      </c>
      <c r="H56" s="2" t="inlineStr">
        <is>
          <t>aris.thorne@mentor-labs.org</t>
        </is>
      </c>
      <c r="I56" s="2" t="inlineStr">
        <is>
          <t>TASK-AIML-101</t>
        </is>
      </c>
      <c r="J56" s="2" t="inlineStr">
        <is>
          <t>Customer Churn Prediction Pipeline with Scikit-Learn &amp; FastAPI</t>
        </is>
      </c>
      <c r="K56" s="2" t="inlineStr">
        <is>
          <t>Build an end-to-end churn prediction model on telecom customer data. Preprocess tabular data, train Random Forest / XGBoost, evaluate ROC-AUC, and expose inference via a FastAPI REST endpoint with Dockerfile.</t>
        </is>
      </c>
      <c r="L56" s="2" t="inlineStr">
        <is>
          <t>2026-09-08</t>
        </is>
      </c>
      <c r="M56" s="2" t="inlineStr">
        <is>
          <t>2026-09-18</t>
        </is>
      </c>
      <c r="N56" s="2" t="inlineStr">
        <is>
          <t>Corrections Required</t>
        </is>
      </c>
      <c r="O56" s="2" t="n">
        <v>1</v>
      </c>
      <c r="P56" s="2" t="inlineStr">
        <is>
          <t>2026-10-18</t>
        </is>
      </c>
      <c r="Q56" s="2" t="inlineStr">
        <is>
          <t>2026-10-28</t>
        </is>
      </c>
      <c r="R56" s="2" t="inlineStr">
        <is>
          <t>16:00</t>
        </is>
      </c>
      <c r="S56" s="2" t="inlineStr">
        <is>
          <t>https://classroom.google.com/c/internship-ai-ml-engineer-2026</t>
        </is>
      </c>
      <c r="T56" s="2" t="inlineStr">
        <is>
          <t>https://classroom.google.com/c/submissions/stu-055_task-aiml-101</t>
        </is>
      </c>
      <c r="U56" s="2" t="inlineStr">
        <is>
          <t>Identified missing unit tests and insufficient error handling. Review rubric items 2 and 4.</t>
        </is>
      </c>
      <c r="V56" s="2" t="n">
        <v>40</v>
      </c>
      <c r="W56" s="2" t="inlineStr">
        <is>
          <t>In Progress</t>
        </is>
      </c>
      <c r="X56" s="2" t="inlineStr">
        <is>
          <t>Sent</t>
        </is>
      </c>
      <c r="Y56" s="2" t="inlineStr">
        <is>
          <t>2026-10-20 11:19</t>
        </is>
      </c>
      <c r="Z56" s="2" t="inlineStr">
        <is>
          <t>Corrections required on error handling and test suite. Review 2 scheduled.</t>
        </is>
      </c>
    </row>
    <row r="57">
      <c r="A57" s="3" t="inlineStr">
        <is>
          <t>STU-056</t>
        </is>
      </c>
      <c r="B57" s="3" t="inlineStr">
        <is>
          <t>Chloe Lee</t>
        </is>
      </c>
      <c r="C57" s="3" t="inlineStr">
        <is>
          <t>student056@example-interns.edu</t>
        </is>
      </c>
      <c r="D57" s="3" t="inlineStr">
        <is>
          <t>2026-09-12</t>
        </is>
      </c>
      <c r="E57" s="3" t="inlineStr">
        <is>
          <t>2026-12-12</t>
        </is>
      </c>
      <c r="F57" s="3" t="inlineStr">
        <is>
          <t>Full Stack Web Developer</t>
        </is>
      </c>
      <c r="G57" s="3" t="inlineStr">
        <is>
          <t>Prof. Elena Rostova</t>
        </is>
      </c>
      <c r="H57" s="3" t="inlineStr">
        <is>
          <t>elena.rostova@mentor-labs.org</t>
        </is>
      </c>
      <c r="I57" s="3" t="inlineStr">
        <is>
          <t>TASK-FSWD-202</t>
        </is>
      </c>
      <c r="J57" s="3" t="inlineStr">
        <is>
          <t>Real-Time Collaboration Kanban Board with WebSockets</t>
        </is>
      </c>
      <c r="K57" s="3" t="inlineStr">
        <is>
          <t>Develop a multi-tenant Kanban board application where updates to columns, cards, and drag-and-drop actions are synchronized in real-time across connected browser clients using WebSockets.</t>
        </is>
      </c>
      <c r="L57" s="3" t="inlineStr">
        <is>
          <t>2026-09-09</t>
        </is>
      </c>
      <c r="M57" s="3" t="inlineStr">
        <is>
          <t>2026-09-19</t>
        </is>
      </c>
      <c r="N57" s="3" t="inlineStr">
        <is>
          <t>Corrections Required</t>
        </is>
      </c>
      <c r="O57" s="3" t="n">
        <v>1</v>
      </c>
      <c r="P57" s="3" t="inlineStr">
        <is>
          <t>2026-10-18</t>
        </is>
      </c>
      <c r="Q57" s="3" t="inlineStr">
        <is>
          <t>2026-10-28</t>
        </is>
      </c>
      <c r="R57" s="3" t="inlineStr">
        <is>
          <t>16:00</t>
        </is>
      </c>
      <c r="S57" s="3" t="inlineStr">
        <is>
          <t>https://classroom.google.com/c/internship-full-stack-web-developer-2026</t>
        </is>
      </c>
      <c r="T57" s="3" t="inlineStr">
        <is>
          <t>https://classroom.google.com/c/submissions/stu-056_task-fswd-202</t>
        </is>
      </c>
      <c r="U57" s="3" t="inlineStr">
        <is>
          <t>Identified missing unit tests and insufficient error handling. Review rubric items 2 and 4.</t>
        </is>
      </c>
      <c r="V57" s="3" t="n">
        <v>40</v>
      </c>
      <c r="W57" s="3" t="inlineStr">
        <is>
          <t>In Progress</t>
        </is>
      </c>
      <c r="X57" s="3" t="inlineStr">
        <is>
          <t>Sent</t>
        </is>
      </c>
      <c r="Y57" s="3" t="inlineStr">
        <is>
          <t>2026-10-26 11:19</t>
        </is>
      </c>
      <c r="Z57" s="3" t="inlineStr">
        <is>
          <t>Corrections required on error handling and test suite. Review 2 scheduled.</t>
        </is>
      </c>
    </row>
    <row r="58">
      <c r="A58" s="2" t="inlineStr">
        <is>
          <t>STU-057</t>
        </is>
      </c>
      <c r="B58" s="2" t="inlineStr">
        <is>
          <t>David White</t>
        </is>
      </c>
      <c r="C58" s="2" t="inlineStr">
        <is>
          <t>student057@example-interns.edu</t>
        </is>
      </c>
      <c r="D58" s="2" t="inlineStr">
        <is>
          <t>2026-09-13</t>
        </is>
      </c>
      <c r="E58" s="2" t="inlineStr">
        <is>
          <t>2026-12-13</t>
        </is>
      </c>
      <c r="F58" s="2" t="inlineStr">
        <is>
          <t>Data Analyst</t>
        </is>
      </c>
      <c r="G58" s="2" t="inlineStr">
        <is>
          <t>Sarah Jenkins</t>
        </is>
      </c>
      <c r="H58" s="2" t="inlineStr">
        <is>
          <t>sarah.jenkins@mentor-labs.org</t>
        </is>
      </c>
      <c r="I58" s="2" t="inlineStr">
        <is>
          <t>TASK-DATA-301</t>
        </is>
      </c>
      <c r="J58" s="2" t="inlineStr">
        <is>
          <t>Automated Multi-Source Retail Sales ETL &amp; KPI Dashboard</t>
        </is>
      </c>
      <c r="K58" s="2" t="inlineStr">
        <is>
          <t>Extract raw CSV and JSON transaction logs, clean nulls/outliers in Pandas, load into a star-schema database, and construct an interactive dashboard featuring MoM growth, cohort retention, and customer lifetime value.</t>
        </is>
      </c>
      <c r="L58" s="2" t="inlineStr">
        <is>
          <t>2026-09-10</t>
        </is>
      </c>
      <c r="M58" s="2" t="inlineStr">
        <is>
          <t>2026-09-18</t>
        </is>
      </c>
      <c r="N58" s="2" t="inlineStr">
        <is>
          <t>Corrections Required</t>
        </is>
      </c>
      <c r="O58" s="2" t="n">
        <v>1</v>
      </c>
      <c r="P58" s="2" t="inlineStr">
        <is>
          <t>2026-10-18</t>
        </is>
      </c>
      <c r="Q58" s="2" t="inlineStr">
        <is>
          <t>2026-10-28</t>
        </is>
      </c>
      <c r="R58" s="2" t="inlineStr">
        <is>
          <t>16:00</t>
        </is>
      </c>
      <c r="S58" s="2" t="inlineStr">
        <is>
          <t>https://classroom.google.com/c/internship-data-analyst-2026</t>
        </is>
      </c>
      <c r="T58" s="2" t="inlineStr">
        <is>
          <t>https://classroom.google.com/c/submissions/stu-057_task-data-301</t>
        </is>
      </c>
      <c r="U58" s="2" t="inlineStr">
        <is>
          <t>Identified missing unit tests and insufficient error handling. Review rubric items 2 and 4.</t>
        </is>
      </c>
      <c r="V58" s="2" t="n">
        <v>40</v>
      </c>
      <c r="W58" s="2" t="inlineStr">
        <is>
          <t>In Progress</t>
        </is>
      </c>
      <c r="X58" s="2" t="inlineStr">
        <is>
          <t>Sent</t>
        </is>
      </c>
      <c r="Y58" s="2" t="inlineStr">
        <is>
          <t>2026-10-25 11:19</t>
        </is>
      </c>
      <c r="Z58" s="2" t="inlineStr">
        <is>
          <t>Corrections required on error handling and test suite. Review 2 scheduled.</t>
        </is>
      </c>
    </row>
    <row r="59">
      <c r="A59" s="3" t="inlineStr">
        <is>
          <t>STU-058</t>
        </is>
      </c>
      <c r="B59" s="3" t="inlineStr">
        <is>
          <t>Divya Clark</t>
        </is>
      </c>
      <c r="C59" s="3" t="inlineStr">
        <is>
          <t>student058@example-interns.edu</t>
        </is>
      </c>
      <c r="D59" s="3" t="inlineStr">
        <is>
          <t>2026-09-14</t>
        </is>
      </c>
      <c r="E59" s="3" t="inlineStr">
        <is>
          <t>2026-12-14</t>
        </is>
      </c>
      <c r="F59" s="3" t="inlineStr">
        <is>
          <t>Cloud &amp; DevOps Engineer</t>
        </is>
      </c>
      <c r="G59" s="3" t="inlineStr">
        <is>
          <t>Rajiv Mehta</t>
        </is>
      </c>
      <c r="H59" s="3" t="inlineStr">
        <is>
          <t>rajiv.mehta@mentor-labs.org</t>
        </is>
      </c>
      <c r="I59" s="3" t="inlineStr">
        <is>
          <t>TASK-DEVO-402</t>
        </is>
      </c>
      <c r="J59" s="3" t="inlineStr">
        <is>
          <t>Kubernetes Microservices Observability with Prometheus &amp; Grafana</t>
        </is>
      </c>
      <c r="K59" s="3" t="inlineStr">
        <is>
          <t>Deploy a 3-tier microservice onto Kubernetes (Minikube / k3s). Implement metric scraping with Prometheus, custom application dashboards in Grafana, and Slack/email Alertmanager rules for pod crash and latency spikes.</t>
        </is>
      </c>
      <c r="L59" s="3" t="inlineStr">
        <is>
          <t>2026-09-11</t>
        </is>
      </c>
      <c r="M59" s="3" t="inlineStr">
        <is>
          <t>2026-09-22</t>
        </is>
      </c>
      <c r="N59" s="3" t="inlineStr">
        <is>
          <t>Corrections Required</t>
        </is>
      </c>
      <c r="O59" s="3" t="n">
        <v>1</v>
      </c>
      <c r="P59" s="3" t="inlineStr">
        <is>
          <t>2026-10-18</t>
        </is>
      </c>
      <c r="Q59" s="3" t="inlineStr">
        <is>
          <t>2026-10-28</t>
        </is>
      </c>
      <c r="R59" s="3" t="inlineStr">
        <is>
          <t>16:00</t>
        </is>
      </c>
      <c r="S59" s="3" t="inlineStr">
        <is>
          <t>https://classroom.google.com/c/internship-cloud-&amp;-devops-engineer-2026</t>
        </is>
      </c>
      <c r="T59" s="3" t="inlineStr">
        <is>
          <t>https://classroom.google.com/c/submissions/stu-058_task-devo-402</t>
        </is>
      </c>
      <c r="U59" s="3" t="inlineStr">
        <is>
          <t>Identified missing unit tests and insufficient error handling. Review rubric items 2 and 4.</t>
        </is>
      </c>
      <c r="V59" s="3" t="n">
        <v>40</v>
      </c>
      <c r="W59" s="3" t="inlineStr">
        <is>
          <t>In Progress</t>
        </is>
      </c>
      <c r="X59" s="3" t="inlineStr">
        <is>
          <t>Sent</t>
        </is>
      </c>
      <c r="Y59" s="3" t="inlineStr">
        <is>
          <t>2026-10-24 11:19</t>
        </is>
      </c>
      <c r="Z59" s="3" t="inlineStr">
        <is>
          <t>Corrections required on error handling and test suite. Review 2 scheduled.</t>
        </is>
      </c>
    </row>
    <row r="60">
      <c r="A60" s="2" t="inlineStr">
        <is>
          <t>STU-059</t>
        </is>
      </c>
      <c r="B60" s="2" t="inlineStr">
        <is>
          <t>Ethan Robinson</t>
        </is>
      </c>
      <c r="C60" s="2" t="inlineStr">
        <is>
          <t>student059@example-interns.edu</t>
        </is>
      </c>
      <c r="D60" s="2" t="inlineStr">
        <is>
          <t>2026-09-15</t>
        </is>
      </c>
      <c r="E60" s="2" t="inlineStr">
        <is>
          <t>2026-12-15</t>
        </is>
      </c>
      <c r="F60" s="2" t="inlineStr">
        <is>
          <t>Mobile App Developer</t>
        </is>
      </c>
      <c r="G60" s="2" t="inlineStr">
        <is>
          <t>Marcus Chen</t>
        </is>
      </c>
      <c r="H60" s="2" t="inlineStr">
        <is>
          <t>marcus.chen@mentor-labs.org</t>
        </is>
      </c>
      <c r="I60" s="2" t="inlineStr">
        <is>
          <t>TASK-MOBL-501</t>
        </is>
      </c>
      <c r="J60" s="2" t="inlineStr">
        <is>
          <t>Cross-Platform Habit Tracker with Offline SQLite &amp; Push Alerts</t>
        </is>
      </c>
      <c r="K60" s="2" t="inlineStr">
        <is>
          <t>Build a cross-platform mobile application (React Native or Flutter) that allows users to track daily habits, streaks, and completion analytics. Implement local SQLite persistence with background push notification reminders.</t>
        </is>
      </c>
      <c r="L60" s="2" t="inlineStr">
        <is>
          <t>2026-09-12</t>
        </is>
      </c>
      <c r="M60" s="2" t="inlineStr">
        <is>
          <t>2026-09-22</t>
        </is>
      </c>
      <c r="N60" s="2" t="inlineStr">
        <is>
          <t>Corrections Required</t>
        </is>
      </c>
      <c r="O60" s="2" t="n">
        <v>1</v>
      </c>
      <c r="P60" s="2" t="inlineStr">
        <is>
          <t>2026-10-18</t>
        </is>
      </c>
      <c r="Q60" s="2" t="inlineStr">
        <is>
          <t>2026-10-28</t>
        </is>
      </c>
      <c r="R60" s="2" t="inlineStr">
        <is>
          <t>16:00</t>
        </is>
      </c>
      <c r="S60" s="2" t="inlineStr">
        <is>
          <t>https://classroom.google.com/c/internship-mobile-app-developer-2026</t>
        </is>
      </c>
      <c r="T60" s="2" t="inlineStr">
        <is>
          <t>https://classroom.google.com/c/submissions/stu-059_task-mobl-501</t>
        </is>
      </c>
      <c r="U60" s="2" t="inlineStr">
        <is>
          <t>Identified missing unit tests and insufficient error handling. Review rubric items 2 and 4.</t>
        </is>
      </c>
      <c r="V60" s="2" t="n">
        <v>40</v>
      </c>
      <c r="W60" s="2" t="inlineStr">
        <is>
          <t>In Progress</t>
        </is>
      </c>
      <c r="X60" s="2" t="inlineStr">
        <is>
          <t>Sent</t>
        </is>
      </c>
      <c r="Y60" s="2" t="inlineStr">
        <is>
          <t>2026-10-23 11:19</t>
        </is>
      </c>
      <c r="Z60" s="2" t="inlineStr">
        <is>
          <t>Corrections required on error handling and test suite. Review 2 scheduled.</t>
        </is>
      </c>
    </row>
    <row r="61">
      <c r="A61" s="3" t="inlineStr">
        <is>
          <t>STU-060</t>
        </is>
      </c>
      <c r="B61" s="3" t="inlineStr">
        <is>
          <t>Fatima Allen</t>
        </is>
      </c>
      <c r="C61" s="3" t="inlineStr">
        <is>
          <t>student060@example-interns.edu</t>
        </is>
      </c>
      <c r="D61" s="3" t="inlineStr">
        <is>
          <t>2026-09-01</t>
        </is>
      </c>
      <c r="E61" s="3" t="inlineStr">
        <is>
          <t>2026-12-01</t>
        </is>
      </c>
      <c r="F61" s="3" t="inlineStr">
        <is>
          <t>Cybersecurity Specialist</t>
        </is>
      </c>
      <c r="G61" s="3" t="inlineStr">
        <is>
          <t>Nadia Al-Mansoor</t>
        </is>
      </c>
      <c r="H61" s="3" t="inlineStr">
        <is>
          <t>nadia.mansoor@mentor-labs.org</t>
        </is>
      </c>
      <c r="I61" s="3" t="inlineStr">
        <is>
          <t>TASK-CYBR-602</t>
        </is>
      </c>
      <c r="J61" s="3" t="inlineStr">
        <is>
          <t>SOC Intrusion Detection &amp; SIEM Log Correlation Engine</t>
        </is>
      </c>
      <c r="K61" s="3" t="inlineStr">
        <is>
          <t>Construct an automated log correlation parser that ingests syslog and web access logs, detects brute-force authentication attacks and lateral movement patterns, and generates automated incident response tickets.</t>
        </is>
      </c>
      <c r="L61" s="3" t="inlineStr">
        <is>
          <t>2026-09-03</t>
        </is>
      </c>
      <c r="M61" s="3" t="inlineStr">
        <is>
          <t>2026-09-13</t>
        </is>
      </c>
      <c r="N61" s="3" t="inlineStr">
        <is>
          <t>Corrections Required</t>
        </is>
      </c>
      <c r="O61" s="3" t="n">
        <v>1</v>
      </c>
      <c r="P61" s="3" t="inlineStr">
        <is>
          <t>2026-10-18</t>
        </is>
      </c>
      <c r="Q61" s="3" t="inlineStr">
        <is>
          <t>2026-10-28</t>
        </is>
      </c>
      <c r="R61" s="3" t="inlineStr">
        <is>
          <t>16:00</t>
        </is>
      </c>
      <c r="S61" s="3" t="inlineStr">
        <is>
          <t>https://classroom.google.com/c/internship-cybersecurity-specialist-2026</t>
        </is>
      </c>
      <c r="T61" s="3" t="inlineStr">
        <is>
          <t>https://classroom.google.com/c/submissions/stu-060_task-cybr-602</t>
        </is>
      </c>
      <c r="U61" s="3" t="inlineStr">
        <is>
          <t>Identified missing unit tests and insufficient error handling. Review rubric items 2 and 4.</t>
        </is>
      </c>
      <c r="V61" s="3" t="n">
        <v>40</v>
      </c>
      <c r="W61" s="3" t="inlineStr">
        <is>
          <t>In Progress</t>
        </is>
      </c>
      <c r="X61" s="3" t="inlineStr">
        <is>
          <t>Sent</t>
        </is>
      </c>
      <c r="Y61" s="3" t="inlineStr">
        <is>
          <t>2026-10-22 11:19</t>
        </is>
      </c>
      <c r="Z61" s="3" t="inlineStr">
        <is>
          <t>Corrections required on error handling and test suite. Review 2 scheduled.</t>
        </is>
      </c>
    </row>
    <row r="62">
      <c r="A62" s="2" t="inlineStr">
        <is>
          <t>STU-061</t>
        </is>
      </c>
      <c r="B62" s="2" t="inlineStr">
        <is>
          <t>Gabriel Scott</t>
        </is>
      </c>
      <c r="C62" s="2" t="inlineStr">
        <is>
          <t>student061@example-interns.edu</t>
        </is>
      </c>
      <c r="D62" s="2" t="inlineStr">
        <is>
          <t>2026-09-02</t>
        </is>
      </c>
      <c r="E62" s="2" t="inlineStr">
        <is>
          <t>2026-12-02</t>
        </is>
      </c>
      <c r="F62" s="2" t="inlineStr">
        <is>
          <t>AI/ML Engineer</t>
        </is>
      </c>
      <c r="G62" s="2" t="inlineStr">
        <is>
          <t>Dr. Aris Thorne</t>
        </is>
      </c>
      <c r="H62" s="2" t="inlineStr">
        <is>
          <t>aris.thorne@mentor-labs.org</t>
        </is>
      </c>
      <c r="I62" s="2" t="inlineStr">
        <is>
          <t>TASK-AIML-101</t>
        </is>
      </c>
      <c r="J62" s="2" t="inlineStr">
        <is>
          <t>Customer Churn Prediction Pipeline with Scikit-Learn &amp; FastAPI</t>
        </is>
      </c>
      <c r="K62" s="2" t="inlineStr">
        <is>
          <t>Build an end-to-end churn prediction model on telecom customer data. Preprocess tabular data, train Random Forest / XGBoost, evaluate ROC-AUC, and expose inference via a FastAPI REST endpoint with Dockerfile.</t>
        </is>
      </c>
      <c r="L62" s="2" t="inlineStr">
        <is>
          <t>2026-09-04</t>
        </is>
      </c>
      <c r="M62" s="2" t="inlineStr">
        <is>
          <t>2026-09-14</t>
        </is>
      </c>
      <c r="N62" s="2" t="inlineStr">
        <is>
          <t>Overdue</t>
        </is>
      </c>
      <c r="O62" s="2" t="n">
        <v>0</v>
      </c>
      <c r="P62" s="2" t="inlineStr"/>
      <c r="Q62" s="2" t="inlineStr">
        <is>
          <t>2026-10-30</t>
        </is>
      </c>
      <c r="R62" s="2" t="inlineStr">
        <is>
          <t>10:00</t>
        </is>
      </c>
      <c r="S62" s="2" t="inlineStr">
        <is>
          <t>https://classroom.google.com/c/internship-ai-ml-engineer-2026</t>
        </is>
      </c>
      <c r="T62" s="2" t="inlineStr">
        <is>
          <t>https://classroom.google.com/c/submissions/stu-061_task-aiml-101</t>
        </is>
      </c>
      <c r="U62" s="2" t="inlineStr">
        <is>
          <t>Awaiting initial submission.</t>
        </is>
      </c>
      <c r="V62" s="2" t="n">
        <v>25</v>
      </c>
      <c r="W62" s="2" t="inlineStr">
        <is>
          <t>In Progress</t>
        </is>
      </c>
      <c r="X62" s="2" t="inlineStr">
        <is>
          <t>Sent</t>
        </is>
      </c>
      <c r="Y62" s="2" t="inlineStr">
        <is>
          <t>2026-10-26 11:34:24</t>
        </is>
      </c>
      <c r="Z62" s="2" t="inlineStr">
        <is>
          <t>Task deadline passed without submission. Overdue escalation sent.</t>
        </is>
      </c>
    </row>
    <row r="63">
      <c r="A63" s="3" t="inlineStr">
        <is>
          <t>STU-062</t>
        </is>
      </c>
      <c r="B63" s="3" t="inlineStr">
        <is>
          <t>Grace Hill</t>
        </is>
      </c>
      <c r="C63" s="3" t="inlineStr">
        <is>
          <t>student062@example-interns.edu</t>
        </is>
      </c>
      <c r="D63" s="3" t="inlineStr">
        <is>
          <t>2026-09-03</t>
        </is>
      </c>
      <c r="E63" s="3" t="inlineStr">
        <is>
          <t>2026-12-03</t>
        </is>
      </c>
      <c r="F63" s="3" t="inlineStr">
        <is>
          <t>Full Stack Web Developer</t>
        </is>
      </c>
      <c r="G63" s="3" t="inlineStr">
        <is>
          <t>Prof. Elena Rostova</t>
        </is>
      </c>
      <c r="H63" s="3" t="inlineStr">
        <is>
          <t>elena.rostova@mentor-labs.org</t>
        </is>
      </c>
      <c r="I63" s="3" t="inlineStr">
        <is>
          <t>TASK-FSWD-202</t>
        </is>
      </c>
      <c r="J63" s="3" t="inlineStr">
        <is>
          <t>Real-Time Collaboration Kanban Board with WebSockets</t>
        </is>
      </c>
      <c r="K63" s="3" t="inlineStr">
        <is>
          <t>Develop a multi-tenant Kanban board application where updates to columns, cards, and drag-and-drop actions are synchronized in real-time across connected browser clients using WebSockets.</t>
        </is>
      </c>
      <c r="L63" s="3" t="inlineStr">
        <is>
          <t>2026-09-05</t>
        </is>
      </c>
      <c r="M63" s="3" t="inlineStr">
        <is>
          <t>2026-09-15</t>
        </is>
      </c>
      <c r="N63" s="3" t="inlineStr">
        <is>
          <t>Overdue</t>
        </is>
      </c>
      <c r="O63" s="3" t="n">
        <v>0</v>
      </c>
      <c r="P63" s="3" t="inlineStr"/>
      <c r="Q63" s="3" t="inlineStr">
        <is>
          <t>2026-10-30</t>
        </is>
      </c>
      <c r="R63" s="3" t="inlineStr">
        <is>
          <t>10:00</t>
        </is>
      </c>
      <c r="S63" s="3" t="inlineStr">
        <is>
          <t>https://classroom.google.com/c/internship-full-stack-web-developer-2026</t>
        </is>
      </c>
      <c r="T63" s="3" t="inlineStr">
        <is>
          <t>https://classroom.google.com/c/submissions/stu-062_task-fswd-202</t>
        </is>
      </c>
      <c r="U63" s="3" t="inlineStr">
        <is>
          <t>Awaiting initial submission.</t>
        </is>
      </c>
      <c r="V63" s="3" t="n">
        <v>25</v>
      </c>
      <c r="W63" s="3" t="inlineStr">
        <is>
          <t>In Progress</t>
        </is>
      </c>
      <c r="X63" s="3" t="inlineStr">
        <is>
          <t>Sent</t>
        </is>
      </c>
      <c r="Y63" s="3" t="inlineStr">
        <is>
          <t>2026-10-26 11:34:24</t>
        </is>
      </c>
      <c r="Z63" s="3" t="inlineStr">
        <is>
          <t>Task deadline passed without submission. Overdue escalation sent.</t>
        </is>
      </c>
    </row>
    <row r="64">
      <c r="A64" s="2" t="inlineStr">
        <is>
          <t>STU-063</t>
        </is>
      </c>
      <c r="B64" s="2" t="inlineStr">
        <is>
          <t>Hassan Adams</t>
        </is>
      </c>
      <c r="C64" s="2" t="inlineStr">
        <is>
          <t>student063@example-interns.edu</t>
        </is>
      </c>
      <c r="D64" s="2" t="inlineStr">
        <is>
          <t>2026-09-04</t>
        </is>
      </c>
      <c r="E64" s="2" t="inlineStr">
        <is>
          <t>2026-12-04</t>
        </is>
      </c>
      <c r="F64" s="2" t="inlineStr">
        <is>
          <t>Data Analyst</t>
        </is>
      </c>
      <c r="G64" s="2" t="inlineStr">
        <is>
          <t>Sarah Jenkins</t>
        </is>
      </c>
      <c r="H64" s="2" t="inlineStr">
        <is>
          <t>sarah.jenkins@mentor-labs.org</t>
        </is>
      </c>
      <c r="I64" s="2" t="inlineStr">
        <is>
          <t>TASK-DATA-301</t>
        </is>
      </c>
      <c r="J64" s="2" t="inlineStr">
        <is>
          <t>Automated Multi-Source Retail Sales ETL &amp; KPI Dashboard</t>
        </is>
      </c>
      <c r="K64" s="2" t="inlineStr">
        <is>
          <t>Extract raw CSV and JSON transaction logs, clean nulls/outliers in Pandas, load into a star-schema database, and construct an interactive dashboard featuring MoM growth, cohort retention, and customer lifetime value.</t>
        </is>
      </c>
      <c r="L64" s="2" t="inlineStr">
        <is>
          <t>2026-09-06</t>
        </is>
      </c>
      <c r="M64" s="2" t="inlineStr">
        <is>
          <t>2026-09-14</t>
        </is>
      </c>
      <c r="N64" s="2" t="inlineStr">
        <is>
          <t>Overdue</t>
        </is>
      </c>
      <c r="O64" s="2" t="n">
        <v>0</v>
      </c>
      <c r="P64" s="2" t="inlineStr"/>
      <c r="Q64" s="2" t="inlineStr">
        <is>
          <t>2026-10-30</t>
        </is>
      </c>
      <c r="R64" s="2" t="inlineStr">
        <is>
          <t>10:00</t>
        </is>
      </c>
      <c r="S64" s="2" t="inlineStr">
        <is>
          <t>https://classroom.google.com/c/internship-data-analyst-2026</t>
        </is>
      </c>
      <c r="T64" s="2" t="inlineStr">
        <is>
          <t>https://classroom.google.com/c/submissions/stu-063_task-data-301</t>
        </is>
      </c>
      <c r="U64" s="2" t="inlineStr">
        <is>
          <t>Awaiting initial submission.</t>
        </is>
      </c>
      <c r="V64" s="2" t="n">
        <v>25</v>
      </c>
      <c r="W64" s="2" t="inlineStr">
        <is>
          <t>In Progress</t>
        </is>
      </c>
      <c r="X64" s="2" t="inlineStr">
        <is>
          <t>Sent</t>
        </is>
      </c>
      <c r="Y64" s="2" t="inlineStr">
        <is>
          <t>2026-10-26 11:34:24</t>
        </is>
      </c>
      <c r="Z64" s="2" t="inlineStr">
        <is>
          <t>Task deadline passed without submission. Overdue escalation sent.</t>
        </is>
      </c>
    </row>
    <row r="65">
      <c r="A65" s="3" t="inlineStr">
        <is>
          <t>STU-064</t>
        </is>
      </c>
      <c r="B65" s="3" t="inlineStr">
        <is>
          <t>Isabella Hall</t>
        </is>
      </c>
      <c r="C65" s="3" t="inlineStr">
        <is>
          <t>student064@example-interns.edu</t>
        </is>
      </c>
      <c r="D65" s="3" t="inlineStr">
        <is>
          <t>2026-09-05</t>
        </is>
      </c>
      <c r="E65" s="3" t="inlineStr">
        <is>
          <t>2026-12-05</t>
        </is>
      </c>
      <c r="F65" s="3" t="inlineStr">
        <is>
          <t>Cloud &amp; DevOps Engineer</t>
        </is>
      </c>
      <c r="G65" s="3" t="inlineStr">
        <is>
          <t>Rajiv Mehta</t>
        </is>
      </c>
      <c r="H65" s="3" t="inlineStr">
        <is>
          <t>rajiv.mehta@mentor-labs.org</t>
        </is>
      </c>
      <c r="I65" s="3" t="inlineStr">
        <is>
          <t>TASK-DEVO-402</t>
        </is>
      </c>
      <c r="J65" s="3" t="inlineStr">
        <is>
          <t>Kubernetes Microservices Observability with Prometheus &amp; Grafana</t>
        </is>
      </c>
      <c r="K65" s="3" t="inlineStr">
        <is>
          <t>Deploy a 3-tier microservice onto Kubernetes (Minikube / k3s). Implement metric scraping with Prometheus, custom application dashboards in Grafana, and Slack/email Alertmanager rules for pod crash and latency spikes.</t>
        </is>
      </c>
      <c r="L65" s="3" t="inlineStr">
        <is>
          <t>2026-09-07</t>
        </is>
      </c>
      <c r="M65" s="3" t="inlineStr">
        <is>
          <t>2026-09-18</t>
        </is>
      </c>
      <c r="N65" s="3" t="inlineStr">
        <is>
          <t>Overdue</t>
        </is>
      </c>
      <c r="O65" s="3" t="n">
        <v>0</v>
      </c>
      <c r="P65" s="3" t="inlineStr"/>
      <c r="Q65" s="3" t="inlineStr">
        <is>
          <t>2026-10-30</t>
        </is>
      </c>
      <c r="R65" s="3" t="inlineStr">
        <is>
          <t>10:00</t>
        </is>
      </c>
      <c r="S65" s="3" t="inlineStr">
        <is>
          <t>https://classroom.google.com/c/internship-cloud-&amp;-devops-engineer-2026</t>
        </is>
      </c>
      <c r="T65" s="3" t="inlineStr">
        <is>
          <t>https://classroom.google.com/c/submissions/stu-064_task-devo-402</t>
        </is>
      </c>
      <c r="U65" s="3" t="inlineStr">
        <is>
          <t>Awaiting initial submission.</t>
        </is>
      </c>
      <c r="V65" s="3" t="n">
        <v>25</v>
      </c>
      <c r="W65" s="3" t="inlineStr">
        <is>
          <t>In Progress</t>
        </is>
      </c>
      <c r="X65" s="3" t="inlineStr">
        <is>
          <t>Sent</t>
        </is>
      </c>
      <c r="Y65" s="3" t="inlineStr">
        <is>
          <t>2026-10-26 11:34:24</t>
        </is>
      </c>
      <c r="Z65" s="3" t="inlineStr">
        <is>
          <t>Task deadline passed without submission. Overdue escalation sent.</t>
        </is>
      </c>
    </row>
    <row r="66">
      <c r="A66" s="2" t="inlineStr">
        <is>
          <t>STU-065</t>
        </is>
      </c>
      <c r="B66" s="2" t="inlineStr">
        <is>
          <t>James Mitchell</t>
        </is>
      </c>
      <c r="C66" s="2" t="inlineStr">
        <is>
          <t>student065@example-interns.edu</t>
        </is>
      </c>
      <c r="D66" s="2" t="inlineStr">
        <is>
          <t>2026-09-06</t>
        </is>
      </c>
      <c r="E66" s="2" t="inlineStr">
        <is>
          <t>2026-12-06</t>
        </is>
      </c>
      <c r="F66" s="2" t="inlineStr">
        <is>
          <t>Mobile App Developer</t>
        </is>
      </c>
      <c r="G66" s="2" t="inlineStr">
        <is>
          <t>Marcus Chen</t>
        </is>
      </c>
      <c r="H66" s="2" t="inlineStr">
        <is>
          <t>marcus.chen@mentor-labs.org</t>
        </is>
      </c>
      <c r="I66" s="2" t="inlineStr">
        <is>
          <t>TASK-MOBL-501</t>
        </is>
      </c>
      <c r="J66" s="2" t="inlineStr">
        <is>
          <t>Cross-Platform Habit Tracker with Offline SQLite &amp; Push Alerts</t>
        </is>
      </c>
      <c r="K66" s="2" t="inlineStr">
        <is>
          <t>Build a cross-platform mobile application (React Native or Flutter) that allows users to track daily habits, streaks, and completion analytics. Implement local SQLite persistence with background push notification reminders.</t>
        </is>
      </c>
      <c r="L66" s="2" t="inlineStr">
        <is>
          <t>2026-09-08</t>
        </is>
      </c>
      <c r="M66" s="2" t="inlineStr">
        <is>
          <t>2026-09-18</t>
        </is>
      </c>
      <c r="N66" s="2" t="inlineStr">
        <is>
          <t>Overdue</t>
        </is>
      </c>
      <c r="O66" s="2" t="n">
        <v>0</v>
      </c>
      <c r="P66" s="2" t="inlineStr"/>
      <c r="Q66" s="2" t="inlineStr">
        <is>
          <t>2026-10-30</t>
        </is>
      </c>
      <c r="R66" s="2" t="inlineStr">
        <is>
          <t>10:00</t>
        </is>
      </c>
      <c r="S66" s="2" t="inlineStr">
        <is>
          <t>https://classroom.google.com/c/internship-mobile-app-developer-2026</t>
        </is>
      </c>
      <c r="T66" s="2" t="inlineStr">
        <is>
          <t>https://classroom.google.com/c/submissions/stu-065_task-mobl-501</t>
        </is>
      </c>
      <c r="U66" s="2" t="inlineStr">
        <is>
          <t>Awaiting initial submission.</t>
        </is>
      </c>
      <c r="V66" s="2" t="n">
        <v>25</v>
      </c>
      <c r="W66" s="2" t="inlineStr">
        <is>
          <t>In Progress</t>
        </is>
      </c>
      <c r="X66" s="2" t="inlineStr">
        <is>
          <t>Sent</t>
        </is>
      </c>
      <c r="Y66" s="2" t="inlineStr">
        <is>
          <t>2026-10-26 11:34:24</t>
        </is>
      </c>
      <c r="Z66" s="2" t="inlineStr">
        <is>
          <t>Task deadline passed without submission. Overdue escalation sent.</t>
        </is>
      </c>
    </row>
    <row r="67">
      <c r="A67" s="3" t="inlineStr">
        <is>
          <t>STU-066</t>
        </is>
      </c>
      <c r="B67" s="3" t="inlineStr">
        <is>
          <t>Jia Smith</t>
        </is>
      </c>
      <c r="C67" s="3" t="inlineStr">
        <is>
          <t>student066@example-interns.edu</t>
        </is>
      </c>
      <c r="D67" s="3" t="inlineStr">
        <is>
          <t>2026-09-07</t>
        </is>
      </c>
      <c r="E67" s="3" t="inlineStr">
        <is>
          <t>2026-12-07</t>
        </is>
      </c>
      <c r="F67" s="3" t="inlineStr">
        <is>
          <t>Cybersecurity Specialist</t>
        </is>
      </c>
      <c r="G67" s="3" t="inlineStr">
        <is>
          <t>Nadia Al-Mansoor</t>
        </is>
      </c>
      <c r="H67" s="3" t="inlineStr">
        <is>
          <t>nadia.mansoor@mentor-labs.org</t>
        </is>
      </c>
      <c r="I67" s="3" t="inlineStr">
        <is>
          <t>TASK-CYBR-602</t>
        </is>
      </c>
      <c r="J67" s="3" t="inlineStr">
        <is>
          <t>SOC Intrusion Detection &amp; SIEM Log Correlation Engine</t>
        </is>
      </c>
      <c r="K67" s="3" t="inlineStr">
        <is>
          <t>Construct an automated log correlation parser that ingests syslog and web access logs, detects brute-force authentication attacks and lateral movement patterns, and generates automated incident response tickets.</t>
        </is>
      </c>
      <c r="L67" s="3" t="inlineStr">
        <is>
          <t>2026-09-09</t>
        </is>
      </c>
      <c r="M67" s="3" t="inlineStr">
        <is>
          <t>2026-09-19</t>
        </is>
      </c>
      <c r="N67" s="3" t="inlineStr">
        <is>
          <t>Overdue</t>
        </is>
      </c>
      <c r="O67" s="3" t="n">
        <v>0</v>
      </c>
      <c r="P67" s="3" t="inlineStr"/>
      <c r="Q67" s="3" t="inlineStr">
        <is>
          <t>2026-10-30</t>
        </is>
      </c>
      <c r="R67" s="3" t="inlineStr">
        <is>
          <t>10:00</t>
        </is>
      </c>
      <c r="S67" s="3" t="inlineStr">
        <is>
          <t>https://classroom.google.com/c/internship-cybersecurity-specialist-2026</t>
        </is>
      </c>
      <c r="T67" s="3" t="inlineStr">
        <is>
          <t>https://classroom.google.com/c/submissions/stu-066_task-cybr-602</t>
        </is>
      </c>
      <c r="U67" s="3" t="inlineStr">
        <is>
          <t>Awaiting initial submission.</t>
        </is>
      </c>
      <c r="V67" s="3" t="n">
        <v>25</v>
      </c>
      <c r="W67" s="3" t="inlineStr">
        <is>
          <t>In Progress</t>
        </is>
      </c>
      <c r="X67" s="3" t="inlineStr">
        <is>
          <t>Sent</t>
        </is>
      </c>
      <c r="Y67" s="3" t="inlineStr">
        <is>
          <t>2026-10-26 11:34:24</t>
        </is>
      </c>
      <c r="Z67" s="3" t="inlineStr">
        <is>
          <t>Task deadline passed without submission. Overdue escalation sent.</t>
        </is>
      </c>
    </row>
    <row r="68">
      <c r="A68" s="2" t="inlineStr">
        <is>
          <t>STU-067</t>
        </is>
      </c>
      <c r="B68" s="2" t="inlineStr">
        <is>
          <t>Kavya Brown</t>
        </is>
      </c>
      <c r="C68" s="2" t="inlineStr">
        <is>
          <t>student067@example-interns.edu</t>
        </is>
      </c>
      <c r="D68" s="2" t="inlineStr">
        <is>
          <t>2026-09-08</t>
        </is>
      </c>
      <c r="E68" s="2" t="inlineStr">
        <is>
          <t>2026-12-08</t>
        </is>
      </c>
      <c r="F68" s="2" t="inlineStr">
        <is>
          <t>AI/ML Engineer</t>
        </is>
      </c>
      <c r="G68" s="2" t="inlineStr">
        <is>
          <t>Dr. Aris Thorne</t>
        </is>
      </c>
      <c r="H68" s="2" t="inlineStr">
        <is>
          <t>aris.thorne@mentor-labs.org</t>
        </is>
      </c>
      <c r="I68" s="2" t="inlineStr">
        <is>
          <t>TASK-AIML-101</t>
        </is>
      </c>
      <c r="J68" s="2" t="inlineStr">
        <is>
          <t>Customer Churn Prediction Pipeline with Scikit-Learn &amp; FastAPI</t>
        </is>
      </c>
      <c r="K68" s="2" t="inlineStr">
        <is>
          <t>Build an end-to-end churn prediction model on telecom customer data. Preprocess tabular data, train Random Forest / XGBoost, evaluate ROC-AUC, and expose inference via a FastAPI REST endpoint with Dockerfile.</t>
        </is>
      </c>
      <c r="L68" s="2" t="inlineStr">
        <is>
          <t>2026-09-10</t>
        </is>
      </c>
      <c r="M68" s="2" t="inlineStr">
        <is>
          <t>2026-09-20</t>
        </is>
      </c>
      <c r="N68" s="2" t="inlineStr">
        <is>
          <t>Overdue</t>
        </is>
      </c>
      <c r="O68" s="2" t="n">
        <v>0</v>
      </c>
      <c r="P68" s="2" t="inlineStr"/>
      <c r="Q68" s="2" t="inlineStr">
        <is>
          <t>2026-10-30</t>
        </is>
      </c>
      <c r="R68" s="2" t="inlineStr">
        <is>
          <t>10:00</t>
        </is>
      </c>
      <c r="S68" s="2" t="inlineStr">
        <is>
          <t>https://classroom.google.com/c/internship-ai-ml-engineer-2026</t>
        </is>
      </c>
      <c r="T68" s="2" t="inlineStr">
        <is>
          <t>https://classroom.google.com/c/submissions/stu-067_task-aiml-101</t>
        </is>
      </c>
      <c r="U68" s="2" t="inlineStr">
        <is>
          <t>Awaiting initial submission.</t>
        </is>
      </c>
      <c r="V68" s="2" t="n">
        <v>25</v>
      </c>
      <c r="W68" s="2" t="inlineStr">
        <is>
          <t>In Progress</t>
        </is>
      </c>
      <c r="X68" s="2" t="inlineStr">
        <is>
          <t>Sent</t>
        </is>
      </c>
      <c r="Y68" s="2" t="inlineStr">
        <is>
          <t>2026-10-26 11:34:24</t>
        </is>
      </c>
      <c r="Z68" s="2" t="inlineStr">
        <is>
          <t>Task deadline passed without submission. Overdue escalation sent.</t>
        </is>
      </c>
    </row>
    <row r="69">
      <c r="A69" s="3" t="inlineStr">
        <is>
          <t>STU-068</t>
        </is>
      </c>
      <c r="B69" s="3" t="inlineStr">
        <is>
          <t>Liam Miller</t>
        </is>
      </c>
      <c r="C69" s="3" t="inlineStr">
        <is>
          <t>student068@example-interns.edu</t>
        </is>
      </c>
      <c r="D69" s="3" t="inlineStr">
        <is>
          <t>2026-09-09</t>
        </is>
      </c>
      <c r="E69" s="3" t="inlineStr">
        <is>
          <t>2026-12-09</t>
        </is>
      </c>
      <c r="F69" s="3" t="inlineStr">
        <is>
          <t>Full Stack Web Developer</t>
        </is>
      </c>
      <c r="G69" s="3" t="inlineStr">
        <is>
          <t>Prof. Elena Rostova</t>
        </is>
      </c>
      <c r="H69" s="3" t="inlineStr">
        <is>
          <t>elena.rostova@mentor-labs.org</t>
        </is>
      </c>
      <c r="I69" s="3" t="inlineStr">
        <is>
          <t>TASK-FSWD-202</t>
        </is>
      </c>
      <c r="J69" s="3" t="inlineStr">
        <is>
          <t>Real-Time Collaboration Kanban Board with WebSockets</t>
        </is>
      </c>
      <c r="K69" s="3" t="inlineStr">
        <is>
          <t>Develop a multi-tenant Kanban board application where updates to columns, cards, and drag-and-drop actions are synchronized in real-time across connected browser clients using WebSockets.</t>
        </is>
      </c>
      <c r="L69" s="3" t="inlineStr">
        <is>
          <t>2026-09-11</t>
        </is>
      </c>
      <c r="M69" s="3" t="inlineStr">
        <is>
          <t>2026-09-21</t>
        </is>
      </c>
      <c r="N69" s="3" t="inlineStr">
        <is>
          <t>Overdue</t>
        </is>
      </c>
      <c r="O69" s="3" t="n">
        <v>0</v>
      </c>
      <c r="P69" s="3" t="inlineStr"/>
      <c r="Q69" s="3" t="inlineStr">
        <is>
          <t>2026-10-30</t>
        </is>
      </c>
      <c r="R69" s="3" t="inlineStr">
        <is>
          <t>10:00</t>
        </is>
      </c>
      <c r="S69" s="3" t="inlineStr">
        <is>
          <t>https://classroom.google.com/c/internship-full-stack-web-developer-2026</t>
        </is>
      </c>
      <c r="T69" s="3" t="inlineStr">
        <is>
          <t>https://classroom.google.com/c/submissions/stu-068_task-fswd-202</t>
        </is>
      </c>
      <c r="U69" s="3" t="inlineStr">
        <is>
          <t>Awaiting initial submission.</t>
        </is>
      </c>
      <c r="V69" s="3" t="n">
        <v>25</v>
      </c>
      <c r="W69" s="3" t="inlineStr">
        <is>
          <t>In Progress</t>
        </is>
      </c>
      <c r="X69" s="3" t="inlineStr">
        <is>
          <t>Sent</t>
        </is>
      </c>
      <c r="Y69" s="3" t="inlineStr">
        <is>
          <t>2026-10-26 11:34:24</t>
        </is>
      </c>
      <c r="Z69" s="3" t="inlineStr">
        <is>
          <t>Task deadline passed without submission. Overdue escalation sent.</t>
        </is>
      </c>
    </row>
    <row r="70">
      <c r="A70" s="2" t="inlineStr">
        <is>
          <t>STU-069</t>
        </is>
      </c>
      <c r="B70" s="2" t="inlineStr">
        <is>
          <t>Maya Martinez</t>
        </is>
      </c>
      <c r="C70" s="2" t="inlineStr">
        <is>
          <t>student069@example-interns.edu</t>
        </is>
      </c>
      <c r="D70" s="2" t="inlineStr">
        <is>
          <t>2026-09-10</t>
        </is>
      </c>
      <c r="E70" s="2" t="inlineStr">
        <is>
          <t>2026-12-10</t>
        </is>
      </c>
      <c r="F70" s="2" t="inlineStr">
        <is>
          <t>Data Analyst</t>
        </is>
      </c>
      <c r="G70" s="2" t="inlineStr">
        <is>
          <t>Sarah Jenkins</t>
        </is>
      </c>
      <c r="H70" s="2" t="inlineStr">
        <is>
          <t>sarah.jenkins@mentor-labs.org</t>
        </is>
      </c>
      <c r="I70" s="2" t="inlineStr">
        <is>
          <t>TASK-DATA-301</t>
        </is>
      </c>
      <c r="J70" s="2" t="inlineStr">
        <is>
          <t>Automated Multi-Source Retail Sales ETL &amp; KPI Dashboard</t>
        </is>
      </c>
      <c r="K70" s="2" t="inlineStr">
        <is>
          <t>Extract raw CSV and JSON transaction logs, clean nulls/outliers in Pandas, load into a star-schema database, and construct an interactive dashboard featuring MoM growth, cohort retention, and customer lifetime value.</t>
        </is>
      </c>
      <c r="L70" s="2" t="inlineStr">
        <is>
          <t>2026-09-12</t>
        </is>
      </c>
      <c r="M70" s="2" t="inlineStr">
        <is>
          <t>2026-09-20</t>
        </is>
      </c>
      <c r="N70" s="2" t="inlineStr">
        <is>
          <t>Overdue</t>
        </is>
      </c>
      <c r="O70" s="2" t="n">
        <v>0</v>
      </c>
      <c r="P70" s="2" t="inlineStr"/>
      <c r="Q70" s="2" t="inlineStr">
        <is>
          <t>2026-10-30</t>
        </is>
      </c>
      <c r="R70" s="2" t="inlineStr">
        <is>
          <t>10:00</t>
        </is>
      </c>
      <c r="S70" s="2" t="inlineStr">
        <is>
          <t>https://classroom.google.com/c/internship-data-analyst-2026</t>
        </is>
      </c>
      <c r="T70" s="2" t="inlineStr">
        <is>
          <t>https://classroom.google.com/c/submissions/stu-069_task-data-301</t>
        </is>
      </c>
      <c r="U70" s="2" t="inlineStr">
        <is>
          <t>Awaiting initial submission.</t>
        </is>
      </c>
      <c r="V70" s="2" t="n">
        <v>25</v>
      </c>
      <c r="W70" s="2" t="inlineStr">
        <is>
          <t>In Progress</t>
        </is>
      </c>
      <c r="X70" s="2" t="inlineStr">
        <is>
          <t>Sent</t>
        </is>
      </c>
      <c r="Y70" s="2" t="inlineStr">
        <is>
          <t>2026-10-26 11:34:24</t>
        </is>
      </c>
      <c r="Z70" s="2" t="inlineStr">
        <is>
          <t>Task deadline passed without submission. Overdue escalation sent.</t>
        </is>
      </c>
    </row>
    <row r="71">
      <c r="A71" s="3" t="inlineStr">
        <is>
          <t>STU-070</t>
        </is>
      </c>
      <c r="B71" s="3" t="inlineStr">
        <is>
          <t>Noah Gonzalez</t>
        </is>
      </c>
      <c r="C71" s="3" t="inlineStr">
        <is>
          <t>student070@example-interns.edu</t>
        </is>
      </c>
      <c r="D71" s="3" t="inlineStr">
        <is>
          <t>2026-09-11</t>
        </is>
      </c>
      <c r="E71" s="3" t="inlineStr">
        <is>
          <t>2026-12-11</t>
        </is>
      </c>
      <c r="F71" s="3" t="inlineStr">
        <is>
          <t>Cloud &amp; DevOps Engineer</t>
        </is>
      </c>
      <c r="G71" s="3" t="inlineStr">
        <is>
          <t>Rajiv Mehta</t>
        </is>
      </c>
      <c r="H71" s="3" t="inlineStr">
        <is>
          <t>rajiv.mehta@mentor-labs.org</t>
        </is>
      </c>
      <c r="I71" s="3" t="inlineStr">
        <is>
          <t>TASK-DEVO-402</t>
        </is>
      </c>
      <c r="J71" s="3" t="inlineStr">
        <is>
          <t>Kubernetes Microservices Observability with Prometheus &amp; Grafana</t>
        </is>
      </c>
      <c r="K71" s="3" t="inlineStr">
        <is>
          <t>Deploy a 3-tier microservice onto Kubernetes (Minikube / k3s). Implement metric scraping with Prometheus, custom application dashboards in Grafana, and Slack/email Alertmanager rules for pod crash and latency spikes.</t>
        </is>
      </c>
      <c r="L71" s="3" t="inlineStr">
        <is>
          <t>2026-09-03</t>
        </is>
      </c>
      <c r="M71" s="3" t="inlineStr">
        <is>
          <t>2026-09-14</t>
        </is>
      </c>
      <c r="N71" s="3" t="inlineStr">
        <is>
          <t>Overdue</t>
        </is>
      </c>
      <c r="O71" s="3" t="n">
        <v>0</v>
      </c>
      <c r="P71" s="3" t="inlineStr"/>
      <c r="Q71" s="3" t="inlineStr">
        <is>
          <t>2026-10-30</t>
        </is>
      </c>
      <c r="R71" s="3" t="inlineStr">
        <is>
          <t>10:00</t>
        </is>
      </c>
      <c r="S71" s="3" t="inlineStr">
        <is>
          <t>https://classroom.google.com/c/internship-cloud-&amp;-devops-engineer-2026</t>
        </is>
      </c>
      <c r="T71" s="3" t="inlineStr">
        <is>
          <t>https://classroom.google.com/c/submissions/stu-070_task-devo-402</t>
        </is>
      </c>
      <c r="U71" s="3" t="inlineStr">
        <is>
          <t>Awaiting initial submission.</t>
        </is>
      </c>
      <c r="V71" s="3" t="n">
        <v>25</v>
      </c>
      <c r="W71" s="3" t="inlineStr">
        <is>
          <t>In Progress</t>
        </is>
      </c>
      <c r="X71" s="3" t="inlineStr">
        <is>
          <t>Sent</t>
        </is>
      </c>
      <c r="Y71" s="3" t="inlineStr">
        <is>
          <t>2026-10-26 11:34:24</t>
        </is>
      </c>
      <c r="Z71" s="3" t="inlineStr">
        <is>
          <t>Task deadline passed without submission. Overdue escalation sent.</t>
        </is>
      </c>
    </row>
    <row r="72">
      <c r="A72" s="2" t="inlineStr">
        <is>
          <t>STU-071</t>
        </is>
      </c>
      <c r="B72" s="2" t="inlineStr">
        <is>
          <t>Olivia Thomas</t>
        </is>
      </c>
      <c r="C72" s="2" t="inlineStr">
        <is>
          <t>student071@example-interns.edu</t>
        </is>
      </c>
      <c r="D72" s="2" t="inlineStr">
        <is>
          <t>2026-09-12</t>
        </is>
      </c>
      <c r="E72" s="2" t="inlineStr">
        <is>
          <t>2026-12-12</t>
        </is>
      </c>
      <c r="F72" s="2" t="inlineStr">
        <is>
          <t>Mobile App Developer</t>
        </is>
      </c>
      <c r="G72" s="2" t="inlineStr">
        <is>
          <t>Marcus Chen</t>
        </is>
      </c>
      <c r="H72" s="2" t="inlineStr">
        <is>
          <t>marcus.chen@mentor-labs.org</t>
        </is>
      </c>
      <c r="I72" s="2" t="inlineStr">
        <is>
          <t>TASK-MOBL-501</t>
        </is>
      </c>
      <c r="J72" s="2" t="inlineStr">
        <is>
          <t>Cross-Platform Habit Tracker with Offline SQLite &amp; Push Alerts</t>
        </is>
      </c>
      <c r="K72" s="2" t="inlineStr">
        <is>
          <t>Build a cross-platform mobile application (React Native or Flutter) that allows users to track daily habits, streaks, and completion analytics. Implement local SQLite persistence with background push notification reminders.</t>
        </is>
      </c>
      <c r="L72" s="2" t="inlineStr">
        <is>
          <t>2026-09-04</t>
        </is>
      </c>
      <c r="M72" s="2" t="inlineStr">
        <is>
          <t>2026-09-14</t>
        </is>
      </c>
      <c r="N72" s="2" t="inlineStr">
        <is>
          <t>Overdue</t>
        </is>
      </c>
      <c r="O72" s="2" t="n">
        <v>0</v>
      </c>
      <c r="P72" s="2" t="inlineStr"/>
      <c r="Q72" s="2" t="inlineStr">
        <is>
          <t>2026-10-30</t>
        </is>
      </c>
      <c r="R72" s="2" t="inlineStr">
        <is>
          <t>10:00</t>
        </is>
      </c>
      <c r="S72" s="2" t="inlineStr">
        <is>
          <t>https://classroom.google.com/c/internship-mobile-app-developer-2026</t>
        </is>
      </c>
      <c r="T72" s="2" t="inlineStr">
        <is>
          <t>https://classroom.google.com/c/submissions/stu-071_task-mobl-501</t>
        </is>
      </c>
      <c r="U72" s="2" t="inlineStr">
        <is>
          <t>Awaiting initial submission.</t>
        </is>
      </c>
      <c r="V72" s="2" t="n">
        <v>25</v>
      </c>
      <c r="W72" s="2" t="inlineStr">
        <is>
          <t>In Progress</t>
        </is>
      </c>
      <c r="X72" s="2" t="inlineStr">
        <is>
          <t>Sent</t>
        </is>
      </c>
      <c r="Y72" s="2" t="inlineStr">
        <is>
          <t>2026-10-26 11:34:24</t>
        </is>
      </c>
      <c r="Z72" s="2" t="inlineStr">
        <is>
          <t>Task deadline passed without submission. Overdue escalation sent.</t>
        </is>
      </c>
    </row>
    <row r="73">
      <c r="A73" s="3" t="inlineStr">
        <is>
          <t>STU-072</t>
        </is>
      </c>
      <c r="B73" s="3" t="inlineStr">
        <is>
          <t>Priya Jackson</t>
        </is>
      </c>
      <c r="C73" s="3" t="inlineStr">
        <is>
          <t>student072@example-interns.edu</t>
        </is>
      </c>
      <c r="D73" s="3" t="inlineStr">
        <is>
          <t>2026-09-13</t>
        </is>
      </c>
      <c r="E73" s="3" t="inlineStr">
        <is>
          <t>2026-12-13</t>
        </is>
      </c>
      <c r="F73" s="3" t="inlineStr">
        <is>
          <t>Cybersecurity Specialist</t>
        </is>
      </c>
      <c r="G73" s="3" t="inlineStr">
        <is>
          <t>Nadia Al-Mansoor</t>
        </is>
      </c>
      <c r="H73" s="3" t="inlineStr">
        <is>
          <t>nadia.mansoor@mentor-labs.org</t>
        </is>
      </c>
      <c r="I73" s="3" t="inlineStr">
        <is>
          <t>TASK-CYBR-602</t>
        </is>
      </c>
      <c r="J73" s="3" t="inlineStr">
        <is>
          <t>SOC Intrusion Detection &amp; SIEM Log Correlation Engine</t>
        </is>
      </c>
      <c r="K73" s="3" t="inlineStr">
        <is>
          <t>Construct an automated log correlation parser that ingests syslog and web access logs, detects brute-force authentication attacks and lateral movement patterns, and generates automated incident response tickets.</t>
        </is>
      </c>
      <c r="L73" s="3" t="inlineStr">
        <is>
          <t>2026-09-05</t>
        </is>
      </c>
      <c r="M73" s="3" t="inlineStr">
        <is>
          <t>2026-09-15</t>
        </is>
      </c>
      <c r="N73" s="3" t="inlineStr">
        <is>
          <t>Overdue</t>
        </is>
      </c>
      <c r="O73" s="3" t="n">
        <v>0</v>
      </c>
      <c r="P73" s="3" t="inlineStr"/>
      <c r="Q73" s="3" t="inlineStr">
        <is>
          <t>2026-10-30</t>
        </is>
      </c>
      <c r="R73" s="3" t="inlineStr">
        <is>
          <t>10:00</t>
        </is>
      </c>
      <c r="S73" s="3" t="inlineStr">
        <is>
          <t>https://classroom.google.com/c/internship-cybersecurity-specialist-2026</t>
        </is>
      </c>
      <c r="T73" s="3" t="inlineStr">
        <is>
          <t>https://classroom.google.com/c/submissions/stu-072_task-cybr-602</t>
        </is>
      </c>
      <c r="U73" s="3" t="inlineStr">
        <is>
          <t>Awaiting initial submission.</t>
        </is>
      </c>
      <c r="V73" s="3" t="n">
        <v>25</v>
      </c>
      <c r="W73" s="3" t="inlineStr">
        <is>
          <t>In Progress</t>
        </is>
      </c>
      <c r="X73" s="3" t="inlineStr">
        <is>
          <t>Sent</t>
        </is>
      </c>
      <c r="Y73" s="3" t="inlineStr">
        <is>
          <t>2026-10-26 11:34:24</t>
        </is>
      </c>
      <c r="Z73" s="3" t="inlineStr">
        <is>
          <t>Task deadline passed without submission. Overdue escalation sent.</t>
        </is>
      </c>
    </row>
    <row r="74">
      <c r="A74" s="2" t="inlineStr">
        <is>
          <t>STU-073</t>
        </is>
      </c>
      <c r="B74" s="2" t="inlineStr">
        <is>
          <t>Quentin Perez</t>
        </is>
      </c>
      <c r="C74" s="2" t="inlineStr">
        <is>
          <t>student073@example-interns.edu</t>
        </is>
      </c>
      <c r="D74" s="2" t="inlineStr">
        <is>
          <t>2026-09-14</t>
        </is>
      </c>
      <c r="E74" s="2" t="inlineStr">
        <is>
          <t>2026-12-14</t>
        </is>
      </c>
      <c r="F74" s="2" t="inlineStr">
        <is>
          <t>AI/ML Engineer</t>
        </is>
      </c>
      <c r="G74" s="2" t="inlineStr">
        <is>
          <t>Dr. Aris Thorne</t>
        </is>
      </c>
      <c r="H74" s="2" t="inlineStr">
        <is>
          <t>aris.thorne@mentor-labs.org</t>
        </is>
      </c>
      <c r="I74" s="2" t="inlineStr">
        <is>
          <t>TASK-AIML-101</t>
        </is>
      </c>
      <c r="J74" s="2" t="inlineStr">
        <is>
          <t>Customer Churn Prediction Pipeline with Scikit-Learn &amp; FastAPI</t>
        </is>
      </c>
      <c r="K74" s="2" t="inlineStr">
        <is>
          <t>Build an end-to-end churn prediction model on telecom customer data. Preprocess tabular data, train Random Forest / XGBoost, evaluate ROC-AUC, and expose inference via a FastAPI REST endpoint with Dockerfile.</t>
        </is>
      </c>
      <c r="L74" s="2" t="inlineStr">
        <is>
          <t>2026-09-06</t>
        </is>
      </c>
      <c r="M74" s="2" t="inlineStr">
        <is>
          <t>2026-09-16</t>
        </is>
      </c>
      <c r="N74" s="2" t="inlineStr">
        <is>
          <t>Overdue</t>
        </is>
      </c>
      <c r="O74" s="2" t="n">
        <v>0</v>
      </c>
      <c r="P74" s="2" t="inlineStr"/>
      <c r="Q74" s="2" t="inlineStr">
        <is>
          <t>2026-10-30</t>
        </is>
      </c>
      <c r="R74" s="2" t="inlineStr">
        <is>
          <t>10:00</t>
        </is>
      </c>
      <c r="S74" s="2" t="inlineStr">
        <is>
          <t>https://classroom.google.com/c/internship-ai-ml-engineer-2026</t>
        </is>
      </c>
      <c r="T74" s="2" t="inlineStr">
        <is>
          <t>https://classroom.google.com/c/submissions/stu-073_task-aiml-101</t>
        </is>
      </c>
      <c r="U74" s="2" t="inlineStr">
        <is>
          <t>Awaiting initial submission.</t>
        </is>
      </c>
      <c r="V74" s="2" t="n">
        <v>25</v>
      </c>
      <c r="W74" s="2" t="inlineStr">
        <is>
          <t>In Progress</t>
        </is>
      </c>
      <c r="X74" s="2" t="inlineStr">
        <is>
          <t>Sent</t>
        </is>
      </c>
      <c r="Y74" s="2" t="inlineStr">
        <is>
          <t>2026-10-26 11:34:24</t>
        </is>
      </c>
      <c r="Z74" s="2" t="inlineStr">
        <is>
          <t>Task deadline passed without submission. Overdue escalation sent.</t>
        </is>
      </c>
    </row>
    <row r="75">
      <c r="A75" s="3" t="inlineStr">
        <is>
          <t>STU-074</t>
        </is>
      </c>
      <c r="B75" s="3" t="inlineStr">
        <is>
          <t>Rohan Harris</t>
        </is>
      </c>
      <c r="C75" s="3" t="inlineStr">
        <is>
          <t>student074@example-interns.edu</t>
        </is>
      </c>
      <c r="D75" s="3" t="inlineStr">
        <is>
          <t>2026-09-15</t>
        </is>
      </c>
      <c r="E75" s="3" t="inlineStr">
        <is>
          <t>2026-12-15</t>
        </is>
      </c>
      <c r="F75" s="3" t="inlineStr">
        <is>
          <t>Full Stack Web Developer</t>
        </is>
      </c>
      <c r="G75" s="3" t="inlineStr">
        <is>
          <t>Prof. Elena Rostova</t>
        </is>
      </c>
      <c r="H75" s="3" t="inlineStr">
        <is>
          <t>elena.rostova@mentor-labs.org</t>
        </is>
      </c>
      <c r="I75" s="3" t="inlineStr">
        <is>
          <t>TASK-FSWD-202</t>
        </is>
      </c>
      <c r="J75" s="3" t="inlineStr">
        <is>
          <t>Real-Time Collaboration Kanban Board with WebSockets</t>
        </is>
      </c>
      <c r="K75" s="3" t="inlineStr">
        <is>
          <t>Develop a multi-tenant Kanban board application where updates to columns, cards, and drag-and-drop actions are synchronized in real-time across connected browser clients using WebSockets.</t>
        </is>
      </c>
      <c r="L75" s="3" t="inlineStr">
        <is>
          <t>2026-09-07</t>
        </is>
      </c>
      <c r="M75" s="3" t="inlineStr">
        <is>
          <t>2026-09-17</t>
        </is>
      </c>
      <c r="N75" s="3" t="inlineStr">
        <is>
          <t>Overdue</t>
        </is>
      </c>
      <c r="O75" s="3" t="n">
        <v>0</v>
      </c>
      <c r="P75" s="3" t="inlineStr"/>
      <c r="Q75" s="3" t="inlineStr">
        <is>
          <t>2026-10-30</t>
        </is>
      </c>
      <c r="R75" s="3" t="inlineStr">
        <is>
          <t>10:00</t>
        </is>
      </c>
      <c r="S75" s="3" t="inlineStr">
        <is>
          <t>https://classroom.google.com/c/internship-full-stack-web-developer-2026</t>
        </is>
      </c>
      <c r="T75" s="3" t="inlineStr">
        <is>
          <t>https://classroom.google.com/c/submissions/stu-074_task-fswd-202</t>
        </is>
      </c>
      <c r="U75" s="3" t="inlineStr">
        <is>
          <t>Awaiting initial submission.</t>
        </is>
      </c>
      <c r="V75" s="3" t="n">
        <v>25</v>
      </c>
      <c r="W75" s="3" t="inlineStr">
        <is>
          <t>In Progress</t>
        </is>
      </c>
      <c r="X75" s="3" t="inlineStr">
        <is>
          <t>Sent</t>
        </is>
      </c>
      <c r="Y75" s="3" t="inlineStr">
        <is>
          <t>2026-10-26 11:34:24</t>
        </is>
      </c>
      <c r="Z75" s="3" t="inlineStr">
        <is>
          <t>Task deadline passed without submission. Overdue escalation sent.</t>
        </is>
      </c>
    </row>
    <row r="76">
      <c r="A76" s="2" t="inlineStr">
        <is>
          <t>STU-075</t>
        </is>
      </c>
      <c r="B76" s="2" t="inlineStr">
        <is>
          <t>Sophia Ramirez</t>
        </is>
      </c>
      <c r="C76" s="2" t="inlineStr">
        <is>
          <t>student075@example-interns.edu</t>
        </is>
      </c>
      <c r="D76" s="2" t="inlineStr">
        <is>
          <t>2026-09-01</t>
        </is>
      </c>
      <c r="E76" s="2" t="inlineStr">
        <is>
          <t>2026-12-01</t>
        </is>
      </c>
      <c r="F76" s="2" t="inlineStr">
        <is>
          <t>Data Analyst</t>
        </is>
      </c>
      <c r="G76" s="2" t="inlineStr">
        <is>
          <t>Sarah Jenkins</t>
        </is>
      </c>
      <c r="H76" s="2" t="inlineStr">
        <is>
          <t>sarah.jenkins@mentor-labs.org</t>
        </is>
      </c>
      <c r="I76" s="2" t="inlineStr">
        <is>
          <t>TASK-DATA-301</t>
        </is>
      </c>
      <c r="J76" s="2" t="inlineStr">
        <is>
          <t>Automated Multi-Source Retail Sales ETL &amp; KPI Dashboard</t>
        </is>
      </c>
      <c r="K76" s="2" t="inlineStr">
        <is>
          <t>Extract raw CSV and JSON transaction logs, clean nulls/outliers in Pandas, load into a star-schema database, and construct an interactive dashboard featuring MoM growth, cohort retention, and customer lifetime value.</t>
        </is>
      </c>
      <c r="L76" s="2" t="inlineStr">
        <is>
          <t>2026-09-08</t>
        </is>
      </c>
      <c r="M76" s="2" t="inlineStr">
        <is>
          <t>2026-09-16</t>
        </is>
      </c>
      <c r="N76" s="2" t="inlineStr">
        <is>
          <t>Overdue</t>
        </is>
      </c>
      <c r="O76" s="2" t="n">
        <v>0</v>
      </c>
      <c r="P76" s="2" t="inlineStr"/>
      <c r="Q76" s="2" t="inlineStr">
        <is>
          <t>2026-10-30</t>
        </is>
      </c>
      <c r="R76" s="2" t="inlineStr">
        <is>
          <t>10:00</t>
        </is>
      </c>
      <c r="S76" s="2" t="inlineStr">
        <is>
          <t>https://classroom.google.com/c/internship-data-analyst-2026</t>
        </is>
      </c>
      <c r="T76" s="2" t="inlineStr">
        <is>
          <t>https://classroom.google.com/c/submissions/stu-075_task-data-301</t>
        </is>
      </c>
      <c r="U76" s="2" t="inlineStr">
        <is>
          <t>Awaiting initial submission.</t>
        </is>
      </c>
      <c r="V76" s="2" t="n">
        <v>25</v>
      </c>
      <c r="W76" s="2" t="inlineStr">
        <is>
          <t>In Progress</t>
        </is>
      </c>
      <c r="X76" s="2" t="inlineStr">
        <is>
          <t>Sent</t>
        </is>
      </c>
      <c r="Y76" s="2" t="inlineStr">
        <is>
          <t>2026-10-26 11:34:24</t>
        </is>
      </c>
      <c r="Z76" s="2" t="inlineStr">
        <is>
          <t>Task deadline passed without submission. Overdue escalation sent.</t>
        </is>
      </c>
    </row>
    <row r="77">
      <c r="A77" s="3" t="inlineStr">
        <is>
          <t>STU-076</t>
        </is>
      </c>
      <c r="B77" s="3" t="inlineStr">
        <is>
          <t>Tariq Walker</t>
        </is>
      </c>
      <c r="C77" s="3" t="inlineStr">
        <is>
          <t>student076@example-interns.edu</t>
        </is>
      </c>
      <c r="D77" s="3" t="inlineStr">
        <is>
          <t>2026-09-02</t>
        </is>
      </c>
      <c r="E77" s="3" t="inlineStr">
        <is>
          <t>2026-12-02</t>
        </is>
      </c>
      <c r="F77" s="3" t="inlineStr">
        <is>
          <t>Cloud &amp; DevOps Engineer</t>
        </is>
      </c>
      <c r="G77" s="3" t="inlineStr">
        <is>
          <t>Rajiv Mehta</t>
        </is>
      </c>
      <c r="H77" s="3" t="inlineStr">
        <is>
          <t>rajiv.mehta@mentor-labs.org</t>
        </is>
      </c>
      <c r="I77" s="3" t="inlineStr">
        <is>
          <t>TASK-DEVO-402</t>
        </is>
      </c>
      <c r="J77" s="3" t="inlineStr">
        <is>
          <t>Kubernetes Microservices Observability with Prometheus &amp; Grafana</t>
        </is>
      </c>
      <c r="K77" s="3" t="inlineStr">
        <is>
          <t>Deploy a 3-tier microservice onto Kubernetes (Minikube / k3s). Implement metric scraping with Prometheus, custom application dashboards in Grafana, and Slack/email Alertmanager rules for pod crash and latency spikes.</t>
        </is>
      </c>
      <c r="L77" s="3" t="inlineStr">
        <is>
          <t>2026-09-09</t>
        </is>
      </c>
      <c r="M77" s="3" t="inlineStr">
        <is>
          <t>2026-09-20</t>
        </is>
      </c>
      <c r="N77" s="3" t="inlineStr">
        <is>
          <t>Overdue</t>
        </is>
      </c>
      <c r="O77" s="3" t="n">
        <v>0</v>
      </c>
      <c r="P77" s="3" t="inlineStr"/>
      <c r="Q77" s="3" t="inlineStr">
        <is>
          <t>2026-10-26</t>
        </is>
      </c>
      <c r="R77" s="3" t="inlineStr">
        <is>
          <t>17:00</t>
        </is>
      </c>
      <c r="S77" s="3" t="inlineStr">
        <is>
          <t>https://classroom.google.com/c/internship-cloud-&amp;-devops-engineer-2026</t>
        </is>
      </c>
      <c r="T77" s="3" t="inlineStr">
        <is>
          <t>https://classroom.google.com/c/submissions/stu-076_task-devo-402</t>
        </is>
      </c>
      <c r="U77" s="3" t="inlineStr">
        <is>
          <t>No submission recorded by deadline.</t>
        </is>
      </c>
      <c r="V77" s="3" t="n">
        <v>15</v>
      </c>
      <c r="W77" s="3" t="inlineStr">
        <is>
          <t>In Progress</t>
        </is>
      </c>
      <c r="X77" s="3" t="inlineStr">
        <is>
          <t>Sent</t>
        </is>
      </c>
      <c r="Y77" s="3" t="inlineStr">
        <is>
          <t>2026-10-20 11:19</t>
        </is>
      </c>
      <c r="Z77" s="3" t="inlineStr">
        <is>
          <t>Automated escalation email sent. Urgent submission required.</t>
        </is>
      </c>
    </row>
    <row r="78">
      <c r="A78" s="2" t="inlineStr">
        <is>
          <t>STU-077</t>
        </is>
      </c>
      <c r="B78" s="2" t="inlineStr">
        <is>
          <t>Uma King</t>
        </is>
      </c>
      <c r="C78" s="2" t="inlineStr">
        <is>
          <t>student077@example-interns.edu</t>
        </is>
      </c>
      <c r="D78" s="2" t="inlineStr">
        <is>
          <t>2026-09-03</t>
        </is>
      </c>
      <c r="E78" s="2" t="inlineStr">
        <is>
          <t>2026-12-03</t>
        </is>
      </c>
      <c r="F78" s="2" t="inlineStr">
        <is>
          <t>Mobile App Developer</t>
        </is>
      </c>
      <c r="G78" s="2" t="inlineStr">
        <is>
          <t>Marcus Chen</t>
        </is>
      </c>
      <c r="H78" s="2" t="inlineStr">
        <is>
          <t>marcus.chen@mentor-labs.org</t>
        </is>
      </c>
      <c r="I78" s="2" t="inlineStr">
        <is>
          <t>TASK-MOBL-501</t>
        </is>
      </c>
      <c r="J78" s="2" t="inlineStr">
        <is>
          <t>Cross-Platform Habit Tracker with Offline SQLite &amp; Push Alerts</t>
        </is>
      </c>
      <c r="K78" s="2" t="inlineStr">
        <is>
          <t>Build a cross-platform mobile application (React Native or Flutter) that allows users to track daily habits, streaks, and completion analytics. Implement local SQLite persistence with background push notification reminders.</t>
        </is>
      </c>
      <c r="L78" s="2" t="inlineStr">
        <is>
          <t>2026-09-10</t>
        </is>
      </c>
      <c r="M78" s="2" t="inlineStr">
        <is>
          <t>2026-09-20</t>
        </is>
      </c>
      <c r="N78" s="2" t="inlineStr">
        <is>
          <t>Overdue</t>
        </is>
      </c>
      <c r="O78" s="2" t="n">
        <v>0</v>
      </c>
      <c r="P78" s="2" t="inlineStr"/>
      <c r="Q78" s="2" t="inlineStr">
        <is>
          <t>2026-10-26</t>
        </is>
      </c>
      <c r="R78" s="2" t="inlineStr">
        <is>
          <t>17:00</t>
        </is>
      </c>
      <c r="S78" s="2" t="inlineStr">
        <is>
          <t>https://classroom.google.com/c/internship-mobile-app-developer-2026</t>
        </is>
      </c>
      <c r="T78" s="2" t="inlineStr">
        <is>
          <t>https://classroom.google.com/c/submissions/stu-077_task-mobl-501</t>
        </is>
      </c>
      <c r="U78" s="2" t="inlineStr">
        <is>
          <t>No submission recorded by deadline.</t>
        </is>
      </c>
      <c r="V78" s="2" t="n">
        <v>15</v>
      </c>
      <c r="W78" s="2" t="inlineStr">
        <is>
          <t>In Progress</t>
        </is>
      </c>
      <c r="X78" s="2" t="inlineStr">
        <is>
          <t>Sent</t>
        </is>
      </c>
      <c r="Y78" s="2" t="inlineStr">
        <is>
          <t>2026-10-26 11:19</t>
        </is>
      </c>
      <c r="Z78" s="2" t="inlineStr">
        <is>
          <t>Automated escalation email sent. Urgent submission required.</t>
        </is>
      </c>
    </row>
    <row r="79">
      <c r="A79" s="3" t="inlineStr">
        <is>
          <t>STU-078</t>
        </is>
      </c>
      <c r="B79" s="3" t="inlineStr">
        <is>
          <t>Victor Torres</t>
        </is>
      </c>
      <c r="C79" s="3" t="inlineStr">
        <is>
          <t>student078@example-interns.edu</t>
        </is>
      </c>
      <c r="D79" s="3" t="inlineStr">
        <is>
          <t>2026-09-04</t>
        </is>
      </c>
      <c r="E79" s="3" t="inlineStr">
        <is>
          <t>2026-12-04</t>
        </is>
      </c>
      <c r="F79" s="3" t="inlineStr">
        <is>
          <t>Cybersecurity Specialist</t>
        </is>
      </c>
      <c r="G79" s="3" t="inlineStr">
        <is>
          <t>Nadia Al-Mansoor</t>
        </is>
      </c>
      <c r="H79" s="3" t="inlineStr">
        <is>
          <t>nadia.mansoor@mentor-labs.org</t>
        </is>
      </c>
      <c r="I79" s="3" t="inlineStr">
        <is>
          <t>TASK-CYBR-602</t>
        </is>
      </c>
      <c r="J79" s="3" t="inlineStr">
        <is>
          <t>SOC Intrusion Detection &amp; SIEM Log Correlation Engine</t>
        </is>
      </c>
      <c r="K79" s="3" t="inlineStr">
        <is>
          <t>Construct an automated log correlation parser that ingests syslog and web access logs, detects brute-force authentication attacks and lateral movement patterns, and generates automated incident response tickets.</t>
        </is>
      </c>
      <c r="L79" s="3" t="inlineStr">
        <is>
          <t>2026-09-11</t>
        </is>
      </c>
      <c r="M79" s="3" t="inlineStr">
        <is>
          <t>2026-09-21</t>
        </is>
      </c>
      <c r="N79" s="3" t="inlineStr">
        <is>
          <t>Overdue</t>
        </is>
      </c>
      <c r="O79" s="3" t="n">
        <v>0</v>
      </c>
      <c r="P79" s="3" t="inlineStr"/>
      <c r="Q79" s="3" t="inlineStr">
        <is>
          <t>2026-10-26</t>
        </is>
      </c>
      <c r="R79" s="3" t="inlineStr">
        <is>
          <t>17:00</t>
        </is>
      </c>
      <c r="S79" s="3" t="inlineStr">
        <is>
          <t>https://classroom.google.com/c/internship-cybersecurity-specialist-2026</t>
        </is>
      </c>
      <c r="T79" s="3" t="inlineStr">
        <is>
          <t>https://classroom.google.com/c/submissions/stu-078_task-cybr-602</t>
        </is>
      </c>
      <c r="U79" s="3" t="inlineStr">
        <is>
          <t>No submission recorded by deadline.</t>
        </is>
      </c>
      <c r="V79" s="3" t="n">
        <v>15</v>
      </c>
      <c r="W79" s="3" t="inlineStr">
        <is>
          <t>In Progress</t>
        </is>
      </c>
      <c r="X79" s="3" t="inlineStr">
        <is>
          <t>Sent</t>
        </is>
      </c>
      <c r="Y79" s="3" t="inlineStr">
        <is>
          <t>2026-10-25 11:19</t>
        </is>
      </c>
      <c r="Z79" s="3" t="inlineStr">
        <is>
          <t>Automated escalation email sent. Urgent submission required.</t>
        </is>
      </c>
    </row>
    <row r="80">
      <c r="A80" s="2" t="inlineStr">
        <is>
          <t>STU-079</t>
        </is>
      </c>
      <c r="B80" s="2" t="inlineStr">
        <is>
          <t>Wei Flores</t>
        </is>
      </c>
      <c r="C80" s="2" t="inlineStr">
        <is>
          <t>student079@example-interns.edu</t>
        </is>
      </c>
      <c r="D80" s="2" t="inlineStr">
        <is>
          <t>2026-09-05</t>
        </is>
      </c>
      <c r="E80" s="2" t="inlineStr">
        <is>
          <t>2026-12-05</t>
        </is>
      </c>
      <c r="F80" s="2" t="inlineStr">
        <is>
          <t>AI/ML Engineer</t>
        </is>
      </c>
      <c r="G80" s="2" t="inlineStr">
        <is>
          <t>Dr. Aris Thorne</t>
        </is>
      </c>
      <c r="H80" s="2" t="inlineStr">
        <is>
          <t>aris.thorne@mentor-labs.org</t>
        </is>
      </c>
      <c r="I80" s="2" t="inlineStr">
        <is>
          <t>TASK-AIML-101</t>
        </is>
      </c>
      <c r="J80" s="2" t="inlineStr">
        <is>
          <t>Customer Churn Prediction Pipeline with Scikit-Learn &amp; FastAPI</t>
        </is>
      </c>
      <c r="K80" s="2" t="inlineStr">
        <is>
          <t>Build an end-to-end churn prediction model on telecom customer data. Preprocess tabular data, train Random Forest / XGBoost, evaluate ROC-AUC, and expose inference via a FastAPI REST endpoint with Dockerfile.</t>
        </is>
      </c>
      <c r="L80" s="2" t="inlineStr">
        <is>
          <t>2026-09-12</t>
        </is>
      </c>
      <c r="M80" s="2" t="inlineStr">
        <is>
          <t>2026-09-22</t>
        </is>
      </c>
      <c r="N80" s="2" t="inlineStr">
        <is>
          <t>Overdue</t>
        </is>
      </c>
      <c r="O80" s="2" t="n">
        <v>0</v>
      </c>
      <c r="P80" s="2" t="inlineStr"/>
      <c r="Q80" s="2" t="inlineStr">
        <is>
          <t>2026-10-26</t>
        </is>
      </c>
      <c r="R80" s="2" t="inlineStr">
        <is>
          <t>17:00</t>
        </is>
      </c>
      <c r="S80" s="2" t="inlineStr">
        <is>
          <t>https://classroom.google.com/c/internship-ai-ml-engineer-2026</t>
        </is>
      </c>
      <c r="T80" s="2" t="inlineStr">
        <is>
          <t>https://classroom.google.com/c/submissions/stu-079_task-aiml-101</t>
        </is>
      </c>
      <c r="U80" s="2" t="inlineStr">
        <is>
          <t>No submission recorded by deadline.</t>
        </is>
      </c>
      <c r="V80" s="2" t="n">
        <v>15</v>
      </c>
      <c r="W80" s="2" t="inlineStr">
        <is>
          <t>In Progress</t>
        </is>
      </c>
      <c r="X80" s="2" t="inlineStr">
        <is>
          <t>Sent</t>
        </is>
      </c>
      <c r="Y80" s="2" t="inlineStr">
        <is>
          <t>2026-10-24 11:19</t>
        </is>
      </c>
      <c r="Z80" s="2" t="inlineStr">
        <is>
          <t>Automated escalation email sent. Urgent submission required.</t>
        </is>
      </c>
    </row>
    <row r="81">
      <c r="A81" s="3" t="inlineStr">
        <is>
          <t>STU-080</t>
        </is>
      </c>
      <c r="B81" s="3" t="inlineStr">
        <is>
          <t>Zara Nelson</t>
        </is>
      </c>
      <c r="C81" s="3" t="inlineStr">
        <is>
          <t>student080@example-interns.edu</t>
        </is>
      </c>
      <c r="D81" s="3" t="inlineStr">
        <is>
          <t>2026-09-06</t>
        </is>
      </c>
      <c r="E81" s="3" t="inlineStr">
        <is>
          <t>2026-12-06</t>
        </is>
      </c>
      <c r="F81" s="3" t="inlineStr">
        <is>
          <t>Full Stack Web Developer</t>
        </is>
      </c>
      <c r="G81" s="3" t="inlineStr">
        <is>
          <t>Prof. Elena Rostova</t>
        </is>
      </c>
      <c r="H81" s="3" t="inlineStr">
        <is>
          <t>elena.rostova@mentor-labs.org</t>
        </is>
      </c>
      <c r="I81" s="3" t="inlineStr">
        <is>
          <t>TASK-FSWD-202</t>
        </is>
      </c>
      <c r="J81" s="3" t="inlineStr">
        <is>
          <t>Real-Time Collaboration Kanban Board with WebSockets</t>
        </is>
      </c>
      <c r="K81" s="3" t="inlineStr">
        <is>
          <t>Develop a multi-tenant Kanban board application where updates to columns, cards, and drag-and-drop actions are synchronized in real-time across connected browser clients using WebSockets.</t>
        </is>
      </c>
      <c r="L81" s="3" t="inlineStr">
        <is>
          <t>2026-09-03</t>
        </is>
      </c>
      <c r="M81" s="3" t="inlineStr">
        <is>
          <t>2026-09-13</t>
        </is>
      </c>
      <c r="N81" s="3" t="inlineStr">
        <is>
          <t>Overdue</t>
        </is>
      </c>
      <c r="O81" s="3" t="n">
        <v>0</v>
      </c>
      <c r="P81" s="3" t="inlineStr"/>
      <c r="Q81" s="3" t="inlineStr">
        <is>
          <t>2026-10-26</t>
        </is>
      </c>
      <c r="R81" s="3" t="inlineStr">
        <is>
          <t>17:00</t>
        </is>
      </c>
      <c r="S81" s="3" t="inlineStr">
        <is>
          <t>https://classroom.google.com/c/internship-full-stack-web-developer-2026</t>
        </is>
      </c>
      <c r="T81" s="3" t="inlineStr">
        <is>
          <t>https://classroom.google.com/c/submissions/stu-080_task-fswd-202</t>
        </is>
      </c>
      <c r="U81" s="3" t="inlineStr">
        <is>
          <t>No submission recorded by deadline.</t>
        </is>
      </c>
      <c r="V81" s="3" t="n">
        <v>15</v>
      </c>
      <c r="W81" s="3" t="inlineStr">
        <is>
          <t>In Progress</t>
        </is>
      </c>
      <c r="X81" s="3" t="inlineStr">
        <is>
          <t>Sent</t>
        </is>
      </c>
      <c r="Y81" s="3" t="inlineStr">
        <is>
          <t>2026-10-23 11:19</t>
        </is>
      </c>
      <c r="Z81" s="3" t="inlineStr">
        <is>
          <t>Automated escalation email sent. Urgent submission required.</t>
        </is>
      </c>
    </row>
    <row r="82">
      <c r="A82" s="2" t="inlineStr">
        <is>
          <t>STU-081</t>
        </is>
      </c>
      <c r="B82" s="2" t="inlineStr">
        <is>
          <t>Ananya Rivera</t>
        </is>
      </c>
      <c r="C82" s="2" t="inlineStr">
        <is>
          <t>student081@example-interns.edu</t>
        </is>
      </c>
      <c r="D82" s="2" t="inlineStr">
        <is>
          <t>2026-09-07</t>
        </is>
      </c>
      <c r="E82" s="2" t="inlineStr">
        <is>
          <t>2026-12-07</t>
        </is>
      </c>
      <c r="F82" s="2" t="inlineStr">
        <is>
          <t>Data Analyst</t>
        </is>
      </c>
      <c r="G82" s="2" t="inlineStr">
        <is>
          <t>Sarah Jenkins</t>
        </is>
      </c>
      <c r="H82" s="2" t="inlineStr">
        <is>
          <t>sarah.jenkins@mentor-labs.org</t>
        </is>
      </c>
      <c r="I82" s="2" t="inlineStr">
        <is>
          <t>TASK-DATA-301</t>
        </is>
      </c>
      <c r="J82" s="2" t="inlineStr">
        <is>
          <t>Automated Multi-Source Retail Sales ETL &amp; KPI Dashboard</t>
        </is>
      </c>
      <c r="K82" s="2" t="inlineStr">
        <is>
          <t>Extract raw CSV and JSON transaction logs, clean nulls/outliers in Pandas, load into a star-schema database, and construct an interactive dashboard featuring MoM growth, cohort retention, and customer lifetime value.</t>
        </is>
      </c>
      <c r="L82" s="2" t="inlineStr">
        <is>
          <t>2026-09-04</t>
        </is>
      </c>
      <c r="M82" s="2" t="inlineStr">
        <is>
          <t>2026-09-12</t>
        </is>
      </c>
      <c r="N82" s="2" t="inlineStr">
        <is>
          <t>Overdue</t>
        </is>
      </c>
      <c r="O82" s="2" t="n">
        <v>0</v>
      </c>
      <c r="P82" s="2" t="inlineStr"/>
      <c r="Q82" s="2" t="inlineStr">
        <is>
          <t>2026-10-26</t>
        </is>
      </c>
      <c r="R82" s="2" t="inlineStr">
        <is>
          <t>17:00</t>
        </is>
      </c>
      <c r="S82" s="2" t="inlineStr">
        <is>
          <t>https://classroom.google.com/c/internship-data-analyst-2026</t>
        </is>
      </c>
      <c r="T82" s="2" t="inlineStr">
        <is>
          <t>https://classroom.google.com/c/submissions/stu-081_task-data-301</t>
        </is>
      </c>
      <c r="U82" s="2" t="inlineStr">
        <is>
          <t>No submission recorded by deadline.</t>
        </is>
      </c>
      <c r="V82" s="2" t="n">
        <v>15</v>
      </c>
      <c r="W82" s="2" t="inlineStr">
        <is>
          <t>In Progress</t>
        </is>
      </c>
      <c r="X82" s="2" t="inlineStr">
        <is>
          <t>Sent</t>
        </is>
      </c>
      <c r="Y82" s="2" t="inlineStr">
        <is>
          <t>2026-10-22 11:19</t>
        </is>
      </c>
      <c r="Z82" s="2" t="inlineStr">
        <is>
          <t>Automated escalation email sent. Urgent submission required.</t>
        </is>
      </c>
    </row>
    <row r="83">
      <c r="A83" s="3" t="inlineStr">
        <is>
          <t>STU-082</t>
        </is>
      </c>
      <c r="B83" s="3" t="inlineStr">
        <is>
          <t>Brian Patel</t>
        </is>
      </c>
      <c r="C83" s="3" t="inlineStr">
        <is>
          <t>student082@example-interns.edu</t>
        </is>
      </c>
      <c r="D83" s="3" t="inlineStr">
        <is>
          <t>2026-09-08</t>
        </is>
      </c>
      <c r="E83" s="3" t="inlineStr">
        <is>
          <t>2026-12-08</t>
        </is>
      </c>
      <c r="F83" s="3" t="inlineStr">
        <is>
          <t>Cloud &amp; DevOps Engineer</t>
        </is>
      </c>
      <c r="G83" s="3" t="inlineStr">
        <is>
          <t>Rajiv Mehta</t>
        </is>
      </c>
      <c r="H83" s="3" t="inlineStr">
        <is>
          <t>rajiv.mehta@mentor-labs.org</t>
        </is>
      </c>
      <c r="I83" s="3" t="inlineStr">
        <is>
          <t>TASK-DEVO-402</t>
        </is>
      </c>
      <c r="J83" s="3" t="inlineStr">
        <is>
          <t>Kubernetes Microservices Observability with Prometheus &amp; Grafana</t>
        </is>
      </c>
      <c r="K83" s="3" t="inlineStr">
        <is>
          <t>Deploy a 3-tier microservice onto Kubernetes (Minikube / k3s). Implement metric scraping with Prometheus, custom application dashboards in Grafana, and Slack/email Alertmanager rules for pod crash and latency spikes.</t>
        </is>
      </c>
      <c r="L83" s="3" t="inlineStr">
        <is>
          <t>2026-09-05</t>
        </is>
      </c>
      <c r="M83" s="3" t="inlineStr">
        <is>
          <t>2026-09-16</t>
        </is>
      </c>
      <c r="N83" s="3" t="inlineStr">
        <is>
          <t>Overdue</t>
        </is>
      </c>
      <c r="O83" s="3" t="n">
        <v>0</v>
      </c>
      <c r="P83" s="3" t="inlineStr"/>
      <c r="Q83" s="3" t="inlineStr">
        <is>
          <t>2026-10-26</t>
        </is>
      </c>
      <c r="R83" s="3" t="inlineStr">
        <is>
          <t>17:00</t>
        </is>
      </c>
      <c r="S83" s="3" t="inlineStr">
        <is>
          <t>https://classroom.google.com/c/internship-cloud-&amp;-devops-engineer-2026</t>
        </is>
      </c>
      <c r="T83" s="3" t="inlineStr">
        <is>
          <t>https://classroom.google.com/c/submissions/stu-082_task-devo-402</t>
        </is>
      </c>
      <c r="U83" s="3" t="inlineStr">
        <is>
          <t>No submission recorded by deadline.</t>
        </is>
      </c>
      <c r="V83" s="3" t="n">
        <v>15</v>
      </c>
      <c r="W83" s="3" t="inlineStr">
        <is>
          <t>In Progress</t>
        </is>
      </c>
      <c r="X83" s="3" t="inlineStr">
        <is>
          <t>Sent</t>
        </is>
      </c>
      <c r="Y83" s="3" t="inlineStr">
        <is>
          <t>2026-10-21 11:19</t>
        </is>
      </c>
      <c r="Z83" s="3" t="inlineStr">
        <is>
          <t>Automated escalation email sent. Urgent submission required.</t>
        </is>
      </c>
    </row>
    <row r="84">
      <c r="A84" s="2" t="inlineStr">
        <is>
          <t>STU-083</t>
        </is>
      </c>
      <c r="B84" s="2" t="inlineStr">
        <is>
          <t>Camila Johnson</t>
        </is>
      </c>
      <c r="C84" s="2" t="inlineStr">
        <is>
          <t>student083@example-interns.edu</t>
        </is>
      </c>
      <c r="D84" s="2" t="inlineStr">
        <is>
          <t>2026-09-09</t>
        </is>
      </c>
      <c r="E84" s="2" t="inlineStr">
        <is>
          <t>2026-12-09</t>
        </is>
      </c>
      <c r="F84" s="2" t="inlineStr">
        <is>
          <t>Mobile App Developer</t>
        </is>
      </c>
      <c r="G84" s="2" t="inlineStr">
        <is>
          <t>Marcus Chen</t>
        </is>
      </c>
      <c r="H84" s="2" t="inlineStr">
        <is>
          <t>marcus.chen@mentor-labs.org</t>
        </is>
      </c>
      <c r="I84" s="2" t="inlineStr">
        <is>
          <t>TASK-MOBL-501</t>
        </is>
      </c>
      <c r="J84" s="2" t="inlineStr">
        <is>
          <t>Cross-Platform Habit Tracker with Offline SQLite &amp; Push Alerts</t>
        </is>
      </c>
      <c r="K84" s="2" t="inlineStr">
        <is>
          <t>Build a cross-platform mobile application (React Native or Flutter) that allows users to track daily habits, streaks, and completion analytics. Implement local SQLite persistence with background push notification reminders.</t>
        </is>
      </c>
      <c r="L84" s="2" t="inlineStr">
        <is>
          <t>2026-09-06</t>
        </is>
      </c>
      <c r="M84" s="2" t="inlineStr">
        <is>
          <t>2026-09-16</t>
        </is>
      </c>
      <c r="N84" s="2" t="inlineStr">
        <is>
          <t>Overdue</t>
        </is>
      </c>
      <c r="O84" s="2" t="n">
        <v>0</v>
      </c>
      <c r="P84" s="2" t="inlineStr"/>
      <c r="Q84" s="2" t="inlineStr">
        <is>
          <t>2026-10-26</t>
        </is>
      </c>
      <c r="R84" s="2" t="inlineStr">
        <is>
          <t>17:00</t>
        </is>
      </c>
      <c r="S84" s="2" t="inlineStr">
        <is>
          <t>https://classroom.google.com/c/internship-mobile-app-developer-2026</t>
        </is>
      </c>
      <c r="T84" s="2" t="inlineStr">
        <is>
          <t>https://classroom.google.com/c/submissions/stu-083_task-mobl-501</t>
        </is>
      </c>
      <c r="U84" s="2" t="inlineStr">
        <is>
          <t>No submission recorded by deadline.</t>
        </is>
      </c>
      <c r="V84" s="2" t="n">
        <v>15</v>
      </c>
      <c r="W84" s="2" t="inlineStr">
        <is>
          <t>In Progress</t>
        </is>
      </c>
      <c r="X84" s="2" t="inlineStr">
        <is>
          <t>Sent</t>
        </is>
      </c>
      <c r="Y84" s="2" t="inlineStr">
        <is>
          <t>2026-10-20 11:19</t>
        </is>
      </c>
      <c r="Z84" s="2" t="inlineStr">
        <is>
          <t>Automated escalation email sent. Urgent submission required.</t>
        </is>
      </c>
    </row>
    <row r="85">
      <c r="A85" s="3" t="inlineStr">
        <is>
          <t>STU-084</t>
        </is>
      </c>
      <c r="B85" s="3" t="inlineStr">
        <is>
          <t>Daniel Jones</t>
        </is>
      </c>
      <c r="C85" s="3" t="inlineStr">
        <is>
          <t>student084@example-interns.edu</t>
        </is>
      </c>
      <c r="D85" s="3" t="inlineStr">
        <is>
          <t>2026-09-10</t>
        </is>
      </c>
      <c r="E85" s="3" t="inlineStr">
        <is>
          <t>2026-12-10</t>
        </is>
      </c>
      <c r="F85" s="3" t="inlineStr">
        <is>
          <t>Cybersecurity Specialist</t>
        </is>
      </c>
      <c r="G85" s="3" t="inlineStr">
        <is>
          <t>Nadia Al-Mansoor</t>
        </is>
      </c>
      <c r="H85" s="3" t="inlineStr">
        <is>
          <t>nadia.mansoor@mentor-labs.org</t>
        </is>
      </c>
      <c r="I85" s="3" t="inlineStr">
        <is>
          <t>TASK-CYBR-602</t>
        </is>
      </c>
      <c r="J85" s="3" t="inlineStr">
        <is>
          <t>SOC Intrusion Detection &amp; SIEM Log Correlation Engine</t>
        </is>
      </c>
      <c r="K85" s="3" t="inlineStr">
        <is>
          <t>Construct an automated log correlation parser that ingests syslog and web access logs, detects brute-force authentication attacks and lateral movement patterns, and generates automated incident response tickets.</t>
        </is>
      </c>
      <c r="L85" s="3" t="inlineStr">
        <is>
          <t>2026-09-07</t>
        </is>
      </c>
      <c r="M85" s="3" t="inlineStr">
        <is>
          <t>2026-09-17</t>
        </is>
      </c>
      <c r="N85" s="3" t="inlineStr">
        <is>
          <t>Overdue</t>
        </is>
      </c>
      <c r="O85" s="3" t="n">
        <v>0</v>
      </c>
      <c r="P85" s="3" t="inlineStr"/>
      <c r="Q85" s="3" t="inlineStr">
        <is>
          <t>2026-10-26</t>
        </is>
      </c>
      <c r="R85" s="3" t="inlineStr">
        <is>
          <t>17:00</t>
        </is>
      </c>
      <c r="S85" s="3" t="inlineStr">
        <is>
          <t>https://classroom.google.com/c/internship-cybersecurity-specialist-2026</t>
        </is>
      </c>
      <c r="T85" s="3" t="inlineStr">
        <is>
          <t>https://classroom.google.com/c/submissions/stu-084_task-cybr-602</t>
        </is>
      </c>
      <c r="U85" s="3" t="inlineStr">
        <is>
          <t>No submission recorded by deadline.</t>
        </is>
      </c>
      <c r="V85" s="3" t="n">
        <v>15</v>
      </c>
      <c r="W85" s="3" t="inlineStr">
        <is>
          <t>In Progress</t>
        </is>
      </c>
      <c r="X85" s="3" t="inlineStr">
        <is>
          <t>Sent</t>
        </is>
      </c>
      <c r="Y85" s="3" t="inlineStr">
        <is>
          <t>2026-10-26 11:19</t>
        </is>
      </c>
      <c r="Z85" s="3" t="inlineStr">
        <is>
          <t>Automated escalation email sent. Urgent submission required.</t>
        </is>
      </c>
    </row>
    <row r="86">
      <c r="A86" s="2" t="inlineStr">
        <is>
          <t>STU-085</t>
        </is>
      </c>
      <c r="B86" s="2" t="inlineStr">
        <is>
          <t>Emma Davis</t>
        </is>
      </c>
      <c r="C86" s="2" t="inlineStr">
        <is>
          <t>student085@example-interns.edu</t>
        </is>
      </c>
      <c r="D86" s="2" t="inlineStr">
        <is>
          <t>2026-09-11</t>
        </is>
      </c>
      <c r="E86" s="2" t="inlineStr">
        <is>
          <t>2026-12-11</t>
        </is>
      </c>
      <c r="F86" s="2" t="inlineStr">
        <is>
          <t>AI/ML Engineer</t>
        </is>
      </c>
      <c r="G86" s="2" t="inlineStr">
        <is>
          <t>Dr. Aris Thorne</t>
        </is>
      </c>
      <c r="H86" s="2" t="inlineStr">
        <is>
          <t>aris.thorne@mentor-labs.org</t>
        </is>
      </c>
      <c r="I86" s="2" t="inlineStr">
        <is>
          <t>TASK-AIML-101</t>
        </is>
      </c>
      <c r="J86" s="2" t="inlineStr">
        <is>
          <t>Customer Churn Prediction Pipeline with Scikit-Learn &amp; FastAPI</t>
        </is>
      </c>
      <c r="K86" s="2" t="inlineStr">
        <is>
          <t>Build an end-to-end churn prediction model on telecom customer data. Preprocess tabular data, train Random Forest / XGBoost, evaluate ROC-AUC, and expose inference via a FastAPI REST endpoint with Dockerfile.</t>
        </is>
      </c>
      <c r="L86" s="2" t="inlineStr">
        <is>
          <t>2026-09-08</t>
        </is>
      </c>
      <c r="M86" s="2" t="inlineStr">
        <is>
          <t>2026-09-18</t>
        </is>
      </c>
      <c r="N86" s="2" t="inlineStr">
        <is>
          <t>Overdue</t>
        </is>
      </c>
      <c r="O86" s="2" t="n">
        <v>0</v>
      </c>
      <c r="P86" s="2" t="inlineStr"/>
      <c r="Q86" s="2" t="inlineStr">
        <is>
          <t>2026-10-26</t>
        </is>
      </c>
      <c r="R86" s="2" t="inlineStr">
        <is>
          <t>17:00</t>
        </is>
      </c>
      <c r="S86" s="2" t="inlineStr">
        <is>
          <t>https://classroom.google.com/c/internship-ai-ml-engineer-2026</t>
        </is>
      </c>
      <c r="T86" s="2" t="inlineStr">
        <is>
          <t>https://classroom.google.com/c/submissions/stu-085_task-aiml-101</t>
        </is>
      </c>
      <c r="U86" s="2" t="inlineStr">
        <is>
          <t>No submission recorded by deadline.</t>
        </is>
      </c>
      <c r="V86" s="2" t="n">
        <v>15</v>
      </c>
      <c r="W86" s="2" t="inlineStr">
        <is>
          <t>In Progress</t>
        </is>
      </c>
      <c r="X86" s="2" t="inlineStr">
        <is>
          <t>Sent</t>
        </is>
      </c>
      <c r="Y86" s="2" t="inlineStr">
        <is>
          <t>2026-10-25 11:19</t>
        </is>
      </c>
      <c r="Z86" s="2" t="inlineStr">
        <is>
          <t>Automated escalation email sent. Urgent submission required.</t>
        </is>
      </c>
    </row>
    <row r="87">
      <c r="A87" s="3" t="inlineStr">
        <is>
          <t>STU-086</t>
        </is>
      </c>
      <c r="B87" s="3" t="inlineStr">
        <is>
          <t>Farhan Hernandez</t>
        </is>
      </c>
      <c r="C87" s="3" t="inlineStr">
        <is>
          <t>student086@example-interns.edu</t>
        </is>
      </c>
      <c r="D87" s="3" t="inlineStr">
        <is>
          <t>2026-09-12</t>
        </is>
      </c>
      <c r="E87" s="3" t="inlineStr">
        <is>
          <t>2026-12-12</t>
        </is>
      </c>
      <c r="F87" s="3" t="inlineStr">
        <is>
          <t>Full Stack Web Developer</t>
        </is>
      </c>
      <c r="G87" s="3" t="inlineStr">
        <is>
          <t>Prof. Elena Rostova</t>
        </is>
      </c>
      <c r="H87" s="3" t="inlineStr">
        <is>
          <t>elena.rostova@mentor-labs.org</t>
        </is>
      </c>
      <c r="I87" s="3" t="inlineStr">
        <is>
          <t>TASK-FSWD-202</t>
        </is>
      </c>
      <c r="J87" s="3" t="inlineStr">
        <is>
          <t>Real-Time Collaboration Kanban Board with WebSockets</t>
        </is>
      </c>
      <c r="K87" s="3" t="inlineStr">
        <is>
          <t>Develop a multi-tenant Kanban board application where updates to columns, cards, and drag-and-drop actions are synchronized in real-time across connected browser clients using WebSockets.</t>
        </is>
      </c>
      <c r="L87" s="3" t="inlineStr">
        <is>
          <t>2026-09-09</t>
        </is>
      </c>
      <c r="M87" s="3" t="inlineStr">
        <is>
          <t>2026-09-19</t>
        </is>
      </c>
      <c r="N87" s="3" t="inlineStr">
        <is>
          <t>Overdue</t>
        </is>
      </c>
      <c r="O87" s="3" t="n">
        <v>0</v>
      </c>
      <c r="P87" s="3" t="inlineStr"/>
      <c r="Q87" s="3" t="inlineStr">
        <is>
          <t>2026-10-26</t>
        </is>
      </c>
      <c r="R87" s="3" t="inlineStr">
        <is>
          <t>17:00</t>
        </is>
      </c>
      <c r="S87" s="3" t="inlineStr">
        <is>
          <t>https://classroom.google.com/c/internship-full-stack-web-developer-2026</t>
        </is>
      </c>
      <c r="T87" s="3" t="inlineStr">
        <is>
          <t>https://classroom.google.com/c/submissions/stu-086_task-fswd-202</t>
        </is>
      </c>
      <c r="U87" s="3" t="inlineStr">
        <is>
          <t>No submission recorded by deadline.</t>
        </is>
      </c>
      <c r="V87" s="3" t="n">
        <v>15</v>
      </c>
      <c r="W87" s="3" t="inlineStr">
        <is>
          <t>In Progress</t>
        </is>
      </c>
      <c r="X87" s="3" t="inlineStr">
        <is>
          <t>Sent</t>
        </is>
      </c>
      <c r="Y87" s="3" t="inlineStr">
        <is>
          <t>2026-10-24 11:19</t>
        </is>
      </c>
      <c r="Z87" s="3" t="inlineStr">
        <is>
          <t>Automated escalation email sent. Urgent submission required.</t>
        </is>
      </c>
    </row>
    <row r="88">
      <c r="A88" s="2" t="inlineStr">
        <is>
          <t>STU-087</t>
        </is>
      </c>
      <c r="B88" s="2" t="inlineStr">
        <is>
          <t>Gita Wilson</t>
        </is>
      </c>
      <c r="C88" s="2" t="inlineStr">
        <is>
          <t>student087@example-interns.edu</t>
        </is>
      </c>
      <c r="D88" s="2" t="inlineStr">
        <is>
          <t>2026-09-13</t>
        </is>
      </c>
      <c r="E88" s="2" t="inlineStr">
        <is>
          <t>2026-12-13</t>
        </is>
      </c>
      <c r="F88" s="2" t="inlineStr">
        <is>
          <t>Data Analyst</t>
        </is>
      </c>
      <c r="G88" s="2" t="inlineStr">
        <is>
          <t>Sarah Jenkins</t>
        </is>
      </c>
      <c r="H88" s="2" t="inlineStr">
        <is>
          <t>sarah.jenkins@mentor-labs.org</t>
        </is>
      </c>
      <c r="I88" s="2" t="inlineStr">
        <is>
          <t>TASK-DATA-301</t>
        </is>
      </c>
      <c r="J88" s="2" t="inlineStr">
        <is>
          <t>Automated Multi-Source Retail Sales ETL &amp; KPI Dashboard</t>
        </is>
      </c>
      <c r="K88" s="2" t="inlineStr">
        <is>
          <t>Extract raw CSV and JSON transaction logs, clean nulls/outliers in Pandas, load into a star-schema database, and construct an interactive dashboard featuring MoM growth, cohort retention, and customer lifetime value.</t>
        </is>
      </c>
      <c r="L88" s="2" t="inlineStr">
        <is>
          <t>2026-09-10</t>
        </is>
      </c>
      <c r="M88" s="2" t="inlineStr">
        <is>
          <t>2026-09-18</t>
        </is>
      </c>
      <c r="N88" s="2" t="inlineStr">
        <is>
          <t>Overdue</t>
        </is>
      </c>
      <c r="O88" s="2" t="n">
        <v>0</v>
      </c>
      <c r="P88" s="2" t="inlineStr"/>
      <c r="Q88" s="2" t="inlineStr">
        <is>
          <t>2026-10-26</t>
        </is>
      </c>
      <c r="R88" s="2" t="inlineStr">
        <is>
          <t>17:00</t>
        </is>
      </c>
      <c r="S88" s="2" t="inlineStr">
        <is>
          <t>https://classroom.google.com/c/internship-data-analyst-2026</t>
        </is>
      </c>
      <c r="T88" s="2" t="inlineStr">
        <is>
          <t>https://classroom.google.com/c/submissions/stu-087_task-data-301</t>
        </is>
      </c>
      <c r="U88" s="2" t="inlineStr">
        <is>
          <t>No submission recorded by deadline.</t>
        </is>
      </c>
      <c r="V88" s="2" t="n">
        <v>15</v>
      </c>
      <c r="W88" s="2" t="inlineStr">
        <is>
          <t>In Progress</t>
        </is>
      </c>
      <c r="X88" s="2" t="inlineStr">
        <is>
          <t>Sent</t>
        </is>
      </c>
      <c r="Y88" s="2" t="inlineStr">
        <is>
          <t>2026-10-23 11:19</t>
        </is>
      </c>
      <c r="Z88" s="2" t="inlineStr">
        <is>
          <t>Automated escalation email sent. Urgent submission required.</t>
        </is>
      </c>
    </row>
    <row r="89">
      <c r="A89" s="3" t="inlineStr">
        <is>
          <t>STU-088</t>
        </is>
      </c>
      <c r="B89" s="3" t="inlineStr">
        <is>
          <t>Henry Taylor</t>
        </is>
      </c>
      <c r="C89" s="3" t="inlineStr">
        <is>
          <t>student088@example-interns.edu</t>
        </is>
      </c>
      <c r="D89" s="3" t="inlineStr">
        <is>
          <t>2026-09-14</t>
        </is>
      </c>
      <c r="E89" s="3" t="inlineStr">
        <is>
          <t>2026-12-14</t>
        </is>
      </c>
      <c r="F89" s="3" t="inlineStr">
        <is>
          <t>Cloud &amp; DevOps Engineer</t>
        </is>
      </c>
      <c r="G89" s="3" t="inlineStr">
        <is>
          <t>Rajiv Mehta</t>
        </is>
      </c>
      <c r="H89" s="3" t="inlineStr">
        <is>
          <t>rajiv.mehta@mentor-labs.org</t>
        </is>
      </c>
      <c r="I89" s="3" t="inlineStr">
        <is>
          <t>TASK-DEVO-402</t>
        </is>
      </c>
      <c r="J89" s="3" t="inlineStr">
        <is>
          <t>Kubernetes Microservices Observability with Prometheus &amp; Grafana</t>
        </is>
      </c>
      <c r="K89" s="3" t="inlineStr">
        <is>
          <t>Deploy a 3-tier microservice onto Kubernetes (Minikube / k3s). Implement metric scraping with Prometheus, custom application dashboards in Grafana, and Slack/email Alertmanager rules for pod crash and latency spikes.</t>
        </is>
      </c>
      <c r="L89" s="3" t="inlineStr">
        <is>
          <t>2026-09-11</t>
        </is>
      </c>
      <c r="M89" s="3" t="inlineStr">
        <is>
          <t>2026-09-22</t>
        </is>
      </c>
      <c r="N89" s="3" t="inlineStr">
        <is>
          <t>Overdue</t>
        </is>
      </c>
      <c r="O89" s="3" t="n">
        <v>0</v>
      </c>
      <c r="P89" s="3" t="inlineStr"/>
      <c r="Q89" s="3" t="inlineStr">
        <is>
          <t>2026-10-26</t>
        </is>
      </c>
      <c r="R89" s="3" t="inlineStr">
        <is>
          <t>17:00</t>
        </is>
      </c>
      <c r="S89" s="3" t="inlineStr">
        <is>
          <t>https://classroom.google.com/c/internship-cloud-&amp;-devops-engineer-2026</t>
        </is>
      </c>
      <c r="T89" s="3" t="inlineStr">
        <is>
          <t>https://classroom.google.com/c/submissions/stu-088_task-devo-402</t>
        </is>
      </c>
      <c r="U89" s="3" t="inlineStr">
        <is>
          <t>No submission recorded by deadline.</t>
        </is>
      </c>
      <c r="V89" s="3" t="n">
        <v>15</v>
      </c>
      <c r="W89" s="3" t="inlineStr">
        <is>
          <t>In Progress</t>
        </is>
      </c>
      <c r="X89" s="3" t="inlineStr">
        <is>
          <t>Sent</t>
        </is>
      </c>
      <c r="Y89" s="3" t="inlineStr">
        <is>
          <t>2026-10-22 11:19</t>
        </is>
      </c>
      <c r="Z89" s="3" t="inlineStr">
        <is>
          <t>Automated escalation email sent. Urgent submission required.</t>
        </is>
      </c>
    </row>
    <row r="90">
      <c r="A90" s="2" t="inlineStr">
        <is>
          <t>STU-089</t>
        </is>
      </c>
      <c r="B90" s="2" t="inlineStr">
        <is>
          <t>Ines Martin</t>
        </is>
      </c>
      <c r="C90" s="2" t="inlineStr">
        <is>
          <t>student089@example-interns.edu</t>
        </is>
      </c>
      <c r="D90" s="2" t="inlineStr">
        <is>
          <t>2026-09-15</t>
        </is>
      </c>
      <c r="E90" s="2" t="inlineStr">
        <is>
          <t>2026-12-15</t>
        </is>
      </c>
      <c r="F90" s="2" t="inlineStr">
        <is>
          <t>Mobile App Developer</t>
        </is>
      </c>
      <c r="G90" s="2" t="inlineStr">
        <is>
          <t>Marcus Chen</t>
        </is>
      </c>
      <c r="H90" s="2" t="inlineStr">
        <is>
          <t>marcus.chen@mentor-labs.org</t>
        </is>
      </c>
      <c r="I90" s="2" t="inlineStr">
        <is>
          <t>TASK-MOBL-501</t>
        </is>
      </c>
      <c r="J90" s="2" t="inlineStr">
        <is>
          <t>Cross-Platform Habit Tracker with Offline SQLite &amp; Push Alerts</t>
        </is>
      </c>
      <c r="K90" s="2" t="inlineStr">
        <is>
          <t>Build a cross-platform mobile application (React Native or Flutter) that allows users to track daily habits, streaks, and completion analytics. Implement local SQLite persistence with background push notification reminders.</t>
        </is>
      </c>
      <c r="L90" s="2" t="inlineStr">
        <is>
          <t>2026-09-12</t>
        </is>
      </c>
      <c r="M90" s="2" t="inlineStr">
        <is>
          <t>2026-09-22</t>
        </is>
      </c>
      <c r="N90" s="2" t="inlineStr">
        <is>
          <t>Overdue</t>
        </is>
      </c>
      <c r="O90" s="2" t="n">
        <v>0</v>
      </c>
      <c r="P90" s="2" t="inlineStr"/>
      <c r="Q90" s="2" t="inlineStr">
        <is>
          <t>2026-11-02</t>
        </is>
      </c>
      <c r="R90" s="2" t="inlineStr">
        <is>
          <t>15:00</t>
        </is>
      </c>
      <c r="S90" s="2" t="inlineStr">
        <is>
          <t>https://classroom.google.com/c/internship-mobile-app-developer-2026</t>
        </is>
      </c>
      <c r="T90" s="2" t="inlineStr">
        <is>
          <t>https://classroom.google.com/c/submissions/stu-089_task-mobl-501</t>
        </is>
      </c>
      <c r="U90" s="2" t="inlineStr">
        <is>
          <t>Task allocated. Awaiting student onboarding.</t>
        </is>
      </c>
      <c r="V90" s="2" t="n">
        <v>0</v>
      </c>
      <c r="W90" s="2" t="inlineStr">
        <is>
          <t>Active</t>
        </is>
      </c>
      <c r="X90" s="2" t="inlineStr">
        <is>
          <t>Sent</t>
        </is>
      </c>
      <c r="Y90" s="2" t="inlineStr">
        <is>
          <t>2026-10-26 11:34:24</t>
        </is>
      </c>
      <c r="Z90" s="2" t="inlineStr">
        <is>
          <t>Task deadline passed without submission. Overdue escalation sent.</t>
        </is>
      </c>
    </row>
    <row r="91">
      <c r="A91" s="3" t="inlineStr">
        <is>
          <t>STU-090</t>
        </is>
      </c>
      <c r="B91" s="3" t="inlineStr">
        <is>
          <t>Jack Thompson</t>
        </is>
      </c>
      <c r="C91" s="3" t="inlineStr">
        <is>
          <t>student090@example-interns.edu</t>
        </is>
      </c>
      <c r="D91" s="3" t="inlineStr">
        <is>
          <t>2026-09-01</t>
        </is>
      </c>
      <c r="E91" s="3" t="inlineStr">
        <is>
          <t>2026-12-01</t>
        </is>
      </c>
      <c r="F91" s="3" t="inlineStr">
        <is>
          <t>Cybersecurity Specialist</t>
        </is>
      </c>
      <c r="G91" s="3" t="inlineStr">
        <is>
          <t>Nadia Al-Mansoor</t>
        </is>
      </c>
      <c r="H91" s="3" t="inlineStr">
        <is>
          <t>nadia.mansoor@mentor-labs.org</t>
        </is>
      </c>
      <c r="I91" s="3" t="inlineStr">
        <is>
          <t>TASK-CYBR-602</t>
        </is>
      </c>
      <c r="J91" s="3" t="inlineStr">
        <is>
          <t>SOC Intrusion Detection &amp; SIEM Log Correlation Engine</t>
        </is>
      </c>
      <c r="K91" s="3" t="inlineStr">
        <is>
          <t>Construct an automated log correlation parser that ingests syslog and web access logs, detects brute-force authentication attacks and lateral movement patterns, and generates automated incident response tickets.</t>
        </is>
      </c>
      <c r="L91" s="3" t="inlineStr">
        <is>
          <t>2026-09-03</t>
        </is>
      </c>
      <c r="M91" s="3" t="inlineStr">
        <is>
          <t>2026-09-13</t>
        </is>
      </c>
      <c r="N91" s="3" t="inlineStr">
        <is>
          <t>Overdue</t>
        </is>
      </c>
      <c r="O91" s="3" t="n">
        <v>0</v>
      </c>
      <c r="P91" s="3" t="inlineStr"/>
      <c r="Q91" s="3" t="inlineStr">
        <is>
          <t>2026-11-02</t>
        </is>
      </c>
      <c r="R91" s="3" t="inlineStr">
        <is>
          <t>15:00</t>
        </is>
      </c>
      <c r="S91" s="3" t="inlineStr">
        <is>
          <t>https://classroom.google.com/c/internship-cybersecurity-specialist-2026</t>
        </is>
      </c>
      <c r="T91" s="3" t="inlineStr">
        <is>
          <t>https://classroom.google.com/c/submissions/stu-090_task-cybr-602</t>
        </is>
      </c>
      <c r="U91" s="3" t="inlineStr">
        <is>
          <t>Task allocated. Awaiting student onboarding.</t>
        </is>
      </c>
      <c r="V91" s="3" t="n">
        <v>0</v>
      </c>
      <c r="W91" s="3" t="inlineStr">
        <is>
          <t>Active</t>
        </is>
      </c>
      <c r="X91" s="3" t="inlineStr">
        <is>
          <t>Sent</t>
        </is>
      </c>
      <c r="Y91" s="3" t="inlineStr">
        <is>
          <t>2026-10-26 11:34:24</t>
        </is>
      </c>
      <c r="Z91" s="3" t="inlineStr">
        <is>
          <t>Task deadline passed without submission. Overdue escalation sent.</t>
        </is>
      </c>
    </row>
    <row r="92">
      <c r="A92" s="2" t="inlineStr">
        <is>
          <t>STU-091</t>
        </is>
      </c>
      <c r="B92" s="2" t="inlineStr">
        <is>
          <t>Kiran Sanchez</t>
        </is>
      </c>
      <c r="C92" s="2" t="inlineStr">
        <is>
          <t>student091@example-interns.edu</t>
        </is>
      </c>
      <c r="D92" s="2" t="inlineStr">
        <is>
          <t>2026-09-02</t>
        </is>
      </c>
      <c r="E92" s="2" t="inlineStr">
        <is>
          <t>2026-12-02</t>
        </is>
      </c>
      <c r="F92" s="2" t="inlineStr">
        <is>
          <t>AI/ML Engineer</t>
        </is>
      </c>
      <c r="G92" s="2" t="inlineStr">
        <is>
          <t>Dr. Aris Thorne</t>
        </is>
      </c>
      <c r="H92" s="2" t="inlineStr">
        <is>
          <t>aris.thorne@mentor-labs.org</t>
        </is>
      </c>
      <c r="I92" s="2" t="inlineStr">
        <is>
          <t>TASK-AIML-101</t>
        </is>
      </c>
      <c r="J92" s="2" t="inlineStr">
        <is>
          <t>Customer Churn Prediction Pipeline with Scikit-Learn &amp; FastAPI</t>
        </is>
      </c>
      <c r="K92" s="2" t="inlineStr">
        <is>
          <t>Build an end-to-end churn prediction model on telecom customer data. Preprocess tabular data, train Random Forest / XGBoost, evaluate ROC-AUC, and expose inference via a FastAPI REST endpoint with Dockerfile.</t>
        </is>
      </c>
      <c r="L92" s="2" t="inlineStr">
        <is>
          <t>2026-09-04</t>
        </is>
      </c>
      <c r="M92" s="2" t="inlineStr">
        <is>
          <t>2026-09-14</t>
        </is>
      </c>
      <c r="N92" s="2" t="inlineStr">
        <is>
          <t>Overdue</t>
        </is>
      </c>
      <c r="O92" s="2" t="n">
        <v>0</v>
      </c>
      <c r="P92" s="2" t="inlineStr"/>
      <c r="Q92" s="2" t="inlineStr">
        <is>
          <t>2026-11-02</t>
        </is>
      </c>
      <c r="R92" s="2" t="inlineStr">
        <is>
          <t>15:00</t>
        </is>
      </c>
      <c r="S92" s="2" t="inlineStr">
        <is>
          <t>https://classroom.google.com/c/internship-ai-ml-engineer-2026</t>
        </is>
      </c>
      <c r="T92" s="2" t="inlineStr">
        <is>
          <t>https://classroom.google.com/c/submissions/stu-091_task-aiml-101</t>
        </is>
      </c>
      <c r="U92" s="2" t="inlineStr">
        <is>
          <t>Task allocated. Awaiting student onboarding.</t>
        </is>
      </c>
      <c r="V92" s="2" t="n">
        <v>0</v>
      </c>
      <c r="W92" s="2" t="inlineStr">
        <is>
          <t>Active</t>
        </is>
      </c>
      <c r="X92" s="2" t="inlineStr">
        <is>
          <t>Sent</t>
        </is>
      </c>
      <c r="Y92" s="2" t="inlineStr">
        <is>
          <t>2026-10-26 11:34:25</t>
        </is>
      </c>
      <c r="Z92" s="2" t="inlineStr">
        <is>
          <t>Task deadline passed without submission. Overdue escalation sent.</t>
        </is>
      </c>
    </row>
    <row r="93">
      <c r="A93" s="3" t="inlineStr">
        <is>
          <t>STU-092</t>
        </is>
      </c>
      <c r="B93" s="3" t="inlineStr">
        <is>
          <t>Lucas Lewis</t>
        </is>
      </c>
      <c r="C93" s="3" t="inlineStr">
        <is>
          <t>student092@example-interns.edu</t>
        </is>
      </c>
      <c r="D93" s="3" t="inlineStr">
        <is>
          <t>2026-09-03</t>
        </is>
      </c>
      <c r="E93" s="3" t="inlineStr">
        <is>
          <t>2026-12-03</t>
        </is>
      </c>
      <c r="F93" s="3" t="inlineStr">
        <is>
          <t>Full Stack Web Developer</t>
        </is>
      </c>
      <c r="G93" s="3" t="inlineStr">
        <is>
          <t>Prof. Elena Rostova</t>
        </is>
      </c>
      <c r="H93" s="3" t="inlineStr">
        <is>
          <t>elena.rostova@mentor-labs.org</t>
        </is>
      </c>
      <c r="I93" s="3" t="inlineStr">
        <is>
          <t>TASK-FSWD-202</t>
        </is>
      </c>
      <c r="J93" s="3" t="inlineStr">
        <is>
          <t>Real-Time Collaboration Kanban Board with WebSockets</t>
        </is>
      </c>
      <c r="K93" s="3" t="inlineStr">
        <is>
          <t>Develop a multi-tenant Kanban board application where updates to columns, cards, and drag-and-drop actions are synchronized in real-time across connected browser clients using WebSockets.</t>
        </is>
      </c>
      <c r="L93" s="3" t="inlineStr">
        <is>
          <t>2026-09-05</t>
        </is>
      </c>
      <c r="M93" s="3" t="inlineStr">
        <is>
          <t>2026-09-15</t>
        </is>
      </c>
      <c r="N93" s="3" t="inlineStr">
        <is>
          <t>Overdue</t>
        </is>
      </c>
      <c r="O93" s="3" t="n">
        <v>0</v>
      </c>
      <c r="P93" s="3" t="inlineStr"/>
      <c r="Q93" s="3" t="inlineStr">
        <is>
          <t>2026-11-02</t>
        </is>
      </c>
      <c r="R93" s="3" t="inlineStr">
        <is>
          <t>15:00</t>
        </is>
      </c>
      <c r="S93" s="3" t="inlineStr">
        <is>
          <t>https://classroom.google.com/c/internship-full-stack-web-developer-2026</t>
        </is>
      </c>
      <c r="T93" s="3" t="inlineStr">
        <is>
          <t>https://classroom.google.com/c/submissions/stu-092_task-fswd-202</t>
        </is>
      </c>
      <c r="U93" s="3" t="inlineStr">
        <is>
          <t>Task allocated. Awaiting student onboarding.</t>
        </is>
      </c>
      <c r="V93" s="3" t="n">
        <v>0</v>
      </c>
      <c r="W93" s="3" t="inlineStr">
        <is>
          <t>Active</t>
        </is>
      </c>
      <c r="X93" s="3" t="inlineStr">
        <is>
          <t>Sent</t>
        </is>
      </c>
      <c r="Y93" s="3" t="inlineStr">
        <is>
          <t>2026-10-26 11:34:25</t>
        </is>
      </c>
      <c r="Z93" s="3" t="inlineStr">
        <is>
          <t>Task deadline passed without submission. Overdue escalation sent.</t>
        </is>
      </c>
    </row>
    <row r="94">
      <c r="A94" s="2" t="inlineStr">
        <is>
          <t>STU-093</t>
        </is>
      </c>
      <c r="B94" s="2" t="inlineStr">
        <is>
          <t>Mei Young</t>
        </is>
      </c>
      <c r="C94" s="2" t="inlineStr">
        <is>
          <t>student093@example-interns.edu</t>
        </is>
      </c>
      <c r="D94" s="2" t="inlineStr">
        <is>
          <t>2026-09-04</t>
        </is>
      </c>
      <c r="E94" s="2" t="inlineStr">
        <is>
          <t>2026-12-04</t>
        </is>
      </c>
      <c r="F94" s="2" t="inlineStr">
        <is>
          <t>Data Analyst</t>
        </is>
      </c>
      <c r="G94" s="2" t="inlineStr">
        <is>
          <t>Sarah Jenkins</t>
        </is>
      </c>
      <c r="H94" s="2" t="inlineStr">
        <is>
          <t>sarah.jenkins@mentor-labs.org</t>
        </is>
      </c>
      <c r="I94" s="2" t="inlineStr">
        <is>
          <t>TASK-DATA-301</t>
        </is>
      </c>
      <c r="J94" s="2" t="inlineStr">
        <is>
          <t>Automated Multi-Source Retail Sales ETL &amp; KPI Dashboard</t>
        </is>
      </c>
      <c r="K94" s="2" t="inlineStr">
        <is>
          <t>Extract raw CSV and JSON transaction logs, clean nulls/outliers in Pandas, load into a star-schema database, and construct an interactive dashboard featuring MoM growth, cohort retention, and customer lifetime value.</t>
        </is>
      </c>
      <c r="L94" s="2" t="inlineStr">
        <is>
          <t>2026-09-06</t>
        </is>
      </c>
      <c r="M94" s="2" t="inlineStr">
        <is>
          <t>2026-09-14</t>
        </is>
      </c>
      <c r="N94" s="2" t="inlineStr">
        <is>
          <t>Overdue</t>
        </is>
      </c>
      <c r="O94" s="2" t="n">
        <v>0</v>
      </c>
      <c r="P94" s="2" t="inlineStr"/>
      <c r="Q94" s="2" t="inlineStr">
        <is>
          <t>2026-11-02</t>
        </is>
      </c>
      <c r="R94" s="2" t="inlineStr">
        <is>
          <t>15:00</t>
        </is>
      </c>
      <c r="S94" s="2" t="inlineStr">
        <is>
          <t>https://classroom.google.com/c/internship-data-analyst-2026</t>
        </is>
      </c>
      <c r="T94" s="2" t="inlineStr">
        <is>
          <t>https://classroom.google.com/c/submissions/stu-093_task-data-301</t>
        </is>
      </c>
      <c r="U94" s="2" t="inlineStr">
        <is>
          <t>Task allocated. Awaiting student onboarding.</t>
        </is>
      </c>
      <c r="V94" s="2" t="n">
        <v>0</v>
      </c>
      <c r="W94" s="2" t="inlineStr">
        <is>
          <t>Active</t>
        </is>
      </c>
      <c r="X94" s="2" t="inlineStr">
        <is>
          <t>Sent</t>
        </is>
      </c>
      <c r="Y94" s="2" t="inlineStr">
        <is>
          <t>2026-10-26 11:34:25</t>
        </is>
      </c>
      <c r="Z94" s="2" t="inlineStr">
        <is>
          <t>Task deadline passed without submission. Overdue escalation sent.</t>
        </is>
      </c>
    </row>
    <row r="95">
      <c r="A95" s="3" t="inlineStr">
        <is>
          <t>STU-094</t>
        </is>
      </c>
      <c r="B95" s="3" t="inlineStr">
        <is>
          <t>Nathan Wright</t>
        </is>
      </c>
      <c r="C95" s="3" t="inlineStr">
        <is>
          <t>student094@example-interns.edu</t>
        </is>
      </c>
      <c r="D95" s="3" t="inlineStr">
        <is>
          <t>2026-09-05</t>
        </is>
      </c>
      <c r="E95" s="3" t="inlineStr">
        <is>
          <t>2026-12-05</t>
        </is>
      </c>
      <c r="F95" s="3" t="inlineStr">
        <is>
          <t>Cloud &amp; DevOps Engineer</t>
        </is>
      </c>
      <c r="G95" s="3" t="inlineStr">
        <is>
          <t>Rajiv Mehta</t>
        </is>
      </c>
      <c r="H95" s="3" t="inlineStr">
        <is>
          <t>rajiv.mehta@mentor-labs.org</t>
        </is>
      </c>
      <c r="I95" s="3" t="inlineStr">
        <is>
          <t>TASK-DEVO-402</t>
        </is>
      </c>
      <c r="J95" s="3" t="inlineStr">
        <is>
          <t>Kubernetes Microservices Observability with Prometheus &amp; Grafana</t>
        </is>
      </c>
      <c r="K95" s="3" t="inlineStr">
        <is>
          <t>Deploy a 3-tier microservice onto Kubernetes (Minikube / k3s). Implement metric scraping with Prometheus, custom application dashboards in Grafana, and Slack/email Alertmanager rules for pod crash and latency spikes.</t>
        </is>
      </c>
      <c r="L95" s="3" t="inlineStr">
        <is>
          <t>2026-09-07</t>
        </is>
      </c>
      <c r="M95" s="3" t="inlineStr">
        <is>
          <t>2026-09-18</t>
        </is>
      </c>
      <c r="N95" s="3" t="inlineStr">
        <is>
          <t>Overdue</t>
        </is>
      </c>
      <c r="O95" s="3" t="n">
        <v>0</v>
      </c>
      <c r="P95" s="3" t="inlineStr"/>
      <c r="Q95" s="3" t="inlineStr">
        <is>
          <t>2026-11-02</t>
        </is>
      </c>
      <c r="R95" s="3" t="inlineStr">
        <is>
          <t>15:00</t>
        </is>
      </c>
      <c r="S95" s="3" t="inlineStr">
        <is>
          <t>https://classroom.google.com/c/internship-cloud-&amp;-devops-engineer-2026</t>
        </is>
      </c>
      <c r="T95" s="3" t="inlineStr">
        <is>
          <t>https://classroom.google.com/c/submissions/stu-094_task-devo-402</t>
        </is>
      </c>
      <c r="U95" s="3" t="inlineStr">
        <is>
          <t>Task allocated. Awaiting student onboarding.</t>
        </is>
      </c>
      <c r="V95" s="3" t="n">
        <v>0</v>
      </c>
      <c r="W95" s="3" t="inlineStr">
        <is>
          <t>Active</t>
        </is>
      </c>
      <c r="X95" s="3" t="inlineStr">
        <is>
          <t>Sent</t>
        </is>
      </c>
      <c r="Y95" s="3" t="inlineStr">
        <is>
          <t>2026-10-26 11:34:25</t>
        </is>
      </c>
      <c r="Z95" s="3" t="inlineStr">
        <is>
          <t>Task deadline passed without submission. Overdue escalation sent.</t>
        </is>
      </c>
    </row>
    <row r="96">
      <c r="A96" s="2" t="inlineStr">
        <is>
          <t>STU-095</t>
        </is>
      </c>
      <c r="B96" s="2" t="inlineStr">
        <is>
          <t>Oscar Nguyen</t>
        </is>
      </c>
      <c r="C96" s="2" t="inlineStr">
        <is>
          <t>student095@example-interns.edu</t>
        </is>
      </c>
      <c r="D96" s="2" t="inlineStr">
        <is>
          <t>2026-09-06</t>
        </is>
      </c>
      <c r="E96" s="2" t="inlineStr">
        <is>
          <t>2026-12-06</t>
        </is>
      </c>
      <c r="F96" s="2" t="inlineStr">
        <is>
          <t>Mobile App Developer</t>
        </is>
      </c>
      <c r="G96" s="2" t="inlineStr">
        <is>
          <t>Marcus Chen</t>
        </is>
      </c>
      <c r="H96" s="2" t="inlineStr">
        <is>
          <t>marcus.chen@mentor-labs.org</t>
        </is>
      </c>
      <c r="I96" s="2" t="inlineStr">
        <is>
          <t>TASK-MOBL-501</t>
        </is>
      </c>
      <c r="J96" s="2" t="inlineStr">
        <is>
          <t>Cross-Platform Habit Tracker with Offline SQLite &amp; Push Alerts</t>
        </is>
      </c>
      <c r="K96" s="2" t="inlineStr">
        <is>
          <t>Build a cross-platform mobile application (React Native or Flutter) that allows users to track daily habits, streaks, and completion analytics. Implement local SQLite persistence with background push notification reminders.</t>
        </is>
      </c>
      <c r="L96" s="2" t="inlineStr">
        <is>
          <t>2026-10-26</t>
        </is>
      </c>
      <c r="M96" s="2" t="inlineStr">
        <is>
          <t>2026-11-05</t>
        </is>
      </c>
      <c r="N96" s="2" t="inlineStr">
        <is>
          <t>Assigned</t>
        </is>
      </c>
      <c r="O96" s="2" t="n">
        <v>0</v>
      </c>
      <c r="P96" s="2" t="inlineStr"/>
      <c r="Q96" s="2" t="inlineStr">
        <is>
          <t>2026-11-02</t>
        </is>
      </c>
      <c r="R96" s="2" t="inlineStr">
        <is>
          <t>15:00</t>
        </is>
      </c>
      <c r="S96" s="2" t="inlineStr">
        <is>
          <t>https://classroom.google.com/c/internship-mobile-app-developer-2026</t>
        </is>
      </c>
      <c r="T96" s="2" t="inlineStr">
        <is>
          <t>https://classroom.google.com/c/submissions/stu-095_task-mobl-501</t>
        </is>
      </c>
      <c r="U96" s="2" t="inlineStr">
        <is>
          <t>Task allocated. Awaiting student onboarding.</t>
        </is>
      </c>
      <c r="V96" s="2" t="n">
        <v>0</v>
      </c>
      <c r="W96" s="2" t="inlineStr">
        <is>
          <t>Active</t>
        </is>
      </c>
      <c r="X96" s="2" t="inlineStr">
        <is>
          <t>Sent</t>
        </is>
      </c>
      <c r="Y96" s="2" t="inlineStr">
        <is>
          <t>2026-10-26 12:14:47</t>
        </is>
      </c>
      <c r="Z96" s="2" t="inlineStr">
        <is>
          <t>Task allocation dispatched. Welcome kit sent.</t>
        </is>
      </c>
    </row>
    <row r="97">
      <c r="A97" s="3" t="inlineStr">
        <is>
          <t>STU-096</t>
        </is>
      </c>
      <c r="B97" s="3" t="inlineStr">
        <is>
          <t>Pooja Green</t>
        </is>
      </c>
      <c r="C97" s="3" t="inlineStr">
        <is>
          <t>student096@example-interns.edu</t>
        </is>
      </c>
      <c r="D97" s="3" t="inlineStr">
        <is>
          <t>2026-09-07</t>
        </is>
      </c>
      <c r="E97" s="3" t="inlineStr">
        <is>
          <t>2026-12-07</t>
        </is>
      </c>
      <c r="F97" s="3" t="inlineStr">
        <is>
          <t>Cybersecurity Specialist</t>
        </is>
      </c>
      <c r="G97" s="3" t="inlineStr">
        <is>
          <t>Nadia Al-Mansoor</t>
        </is>
      </c>
      <c r="H97" s="3" t="inlineStr">
        <is>
          <t>nadia.mansoor@mentor-labs.org</t>
        </is>
      </c>
      <c r="I97" s="3" t="inlineStr">
        <is>
          <t>TASK-CYBR-602</t>
        </is>
      </c>
      <c r="J97" s="3" t="inlineStr">
        <is>
          <t>SOC Intrusion Detection &amp; SIEM Log Correlation Engine</t>
        </is>
      </c>
      <c r="K97" s="3" t="inlineStr">
        <is>
          <t>Construct an automated log correlation parser that ingests syslog and web access logs, detects brute-force authentication attacks and lateral movement patterns, and generates automated incident response tickets.</t>
        </is>
      </c>
      <c r="L97" s="3" t="inlineStr">
        <is>
          <t>2026-09-09</t>
        </is>
      </c>
      <c r="M97" s="3" t="inlineStr">
        <is>
          <t>2026-09-19</t>
        </is>
      </c>
      <c r="N97" s="3" t="inlineStr">
        <is>
          <t>Overdue</t>
        </is>
      </c>
      <c r="O97" s="3" t="n">
        <v>0</v>
      </c>
      <c r="P97" s="3" t="inlineStr"/>
      <c r="Q97" s="3" t="inlineStr">
        <is>
          <t>2026-11-02</t>
        </is>
      </c>
      <c r="R97" s="3" t="inlineStr">
        <is>
          <t>15:00</t>
        </is>
      </c>
      <c r="S97" s="3" t="inlineStr">
        <is>
          <t>https://classroom.google.com/c/internship-cybersecurity-specialist-2026</t>
        </is>
      </c>
      <c r="T97" s="3" t="inlineStr">
        <is>
          <t>https://classroom.google.com/c/submissions/stu-096_task-cybr-602</t>
        </is>
      </c>
      <c r="U97" s="3" t="inlineStr">
        <is>
          <t>Task allocated. Awaiting student onboarding.</t>
        </is>
      </c>
      <c r="V97" s="3" t="n">
        <v>0</v>
      </c>
      <c r="W97" s="3" t="inlineStr">
        <is>
          <t>Active</t>
        </is>
      </c>
      <c r="X97" s="3" t="inlineStr">
        <is>
          <t>Sent</t>
        </is>
      </c>
      <c r="Y97" s="3" t="inlineStr">
        <is>
          <t>2026-10-26 11:34:25</t>
        </is>
      </c>
      <c r="Z97" s="3" t="inlineStr">
        <is>
          <t>Task deadline passed without submission. Overdue escalation sent.</t>
        </is>
      </c>
    </row>
    <row r="98">
      <c r="A98" s="2" t="inlineStr">
        <is>
          <t>STU-097</t>
        </is>
      </c>
      <c r="B98" s="2" t="inlineStr">
        <is>
          <t>Rahul Baker</t>
        </is>
      </c>
      <c r="C98" s="2" t="inlineStr">
        <is>
          <t>student097@example-interns.edu</t>
        </is>
      </c>
      <c r="D98" s="2" t="inlineStr">
        <is>
          <t>2026-09-08</t>
        </is>
      </c>
      <c r="E98" s="2" t="inlineStr">
        <is>
          <t>2026-12-08</t>
        </is>
      </c>
      <c r="F98" s="2" t="inlineStr">
        <is>
          <t>AI/ML Engineer</t>
        </is>
      </c>
      <c r="G98" s="2" t="inlineStr">
        <is>
          <t>Dr. Aris Thorne</t>
        </is>
      </c>
      <c r="H98" s="2" t="inlineStr">
        <is>
          <t>aris.thorne@mentor-labs.org</t>
        </is>
      </c>
      <c r="I98" s="2" t="inlineStr">
        <is>
          <t>TASK-AIML-101</t>
        </is>
      </c>
      <c r="J98" s="2" t="inlineStr">
        <is>
          <t>Customer Churn Prediction Pipeline with Scikit-Learn &amp; FastAPI</t>
        </is>
      </c>
      <c r="K98" s="2" t="inlineStr">
        <is>
          <t>Build an end-to-end churn prediction model on telecom customer data. Preprocess tabular data, train Random Forest / XGBoost, evaluate ROC-AUC, and expose inference via a FastAPI REST endpoint with Dockerfile.</t>
        </is>
      </c>
      <c r="L98" s="2" t="inlineStr">
        <is>
          <t>2026-09-10</t>
        </is>
      </c>
      <c r="M98" s="2" t="inlineStr">
        <is>
          <t>2026-09-20</t>
        </is>
      </c>
      <c r="N98" s="2" t="inlineStr">
        <is>
          <t>Overdue</t>
        </is>
      </c>
      <c r="O98" s="2" t="n">
        <v>0</v>
      </c>
      <c r="P98" s="2" t="inlineStr"/>
      <c r="Q98" s="2" t="inlineStr">
        <is>
          <t>2026-11-02</t>
        </is>
      </c>
      <c r="R98" s="2" t="inlineStr">
        <is>
          <t>15:00</t>
        </is>
      </c>
      <c r="S98" s="2" t="inlineStr">
        <is>
          <t>https://classroom.google.com/c/internship-ai-ml-engineer-2026</t>
        </is>
      </c>
      <c r="T98" s="2" t="inlineStr">
        <is>
          <t>https://classroom.google.com/c/submissions/stu-097_task-aiml-101</t>
        </is>
      </c>
      <c r="U98" s="2" t="inlineStr">
        <is>
          <t>Task allocated. Awaiting student onboarding.</t>
        </is>
      </c>
      <c r="V98" s="2" t="n">
        <v>0</v>
      </c>
      <c r="W98" s="2" t="inlineStr">
        <is>
          <t>Active</t>
        </is>
      </c>
      <c r="X98" s="2" t="inlineStr">
        <is>
          <t>Sent</t>
        </is>
      </c>
      <c r="Y98" s="2" t="inlineStr">
        <is>
          <t>2026-10-26 11:34:25</t>
        </is>
      </c>
      <c r="Z98" s="2" t="inlineStr">
        <is>
          <t>Task deadline passed without submission. Overdue escalation sent.</t>
        </is>
      </c>
    </row>
    <row r="99">
      <c r="A99" s="3" t="inlineStr">
        <is>
          <t>STU-098</t>
        </is>
      </c>
      <c r="B99" s="3" t="inlineStr">
        <is>
          <t>Sara Campbell</t>
        </is>
      </c>
      <c r="C99" s="3" t="inlineStr">
        <is>
          <t>student098@example-interns.edu</t>
        </is>
      </c>
      <c r="D99" s="3" t="inlineStr">
        <is>
          <t>2026-09-09</t>
        </is>
      </c>
      <c r="E99" s="3" t="inlineStr">
        <is>
          <t>2026-12-09</t>
        </is>
      </c>
      <c r="F99" s="3" t="inlineStr">
        <is>
          <t>Full Stack Web Developer</t>
        </is>
      </c>
      <c r="G99" s="3" t="inlineStr">
        <is>
          <t>Prof. Elena Rostova</t>
        </is>
      </c>
      <c r="H99" s="3" t="inlineStr">
        <is>
          <t>elena.rostova@mentor-labs.org</t>
        </is>
      </c>
      <c r="I99" s="3" t="inlineStr">
        <is>
          <t>TASK-FSWD-202</t>
        </is>
      </c>
      <c r="J99" s="3" t="inlineStr">
        <is>
          <t>Real-Time Collaboration Kanban Board with WebSockets</t>
        </is>
      </c>
      <c r="K99" s="3" t="inlineStr">
        <is>
          <t>Develop a multi-tenant Kanban board application where updates to columns, cards, and drag-and-drop actions are synchronized in real-time across connected browser clients using WebSockets.</t>
        </is>
      </c>
      <c r="L99" s="3" t="inlineStr">
        <is>
          <t>2026-09-11</t>
        </is>
      </c>
      <c r="M99" s="3" t="inlineStr">
        <is>
          <t>2026-09-21</t>
        </is>
      </c>
      <c r="N99" s="3" t="inlineStr">
        <is>
          <t>Overdue</t>
        </is>
      </c>
      <c r="O99" s="3" t="n">
        <v>0</v>
      </c>
      <c r="P99" s="3" t="inlineStr"/>
      <c r="Q99" s="3" t="inlineStr">
        <is>
          <t>2026-11-02</t>
        </is>
      </c>
      <c r="R99" s="3" t="inlineStr">
        <is>
          <t>15:00</t>
        </is>
      </c>
      <c r="S99" s="3" t="inlineStr">
        <is>
          <t>https://classroom.google.com/c/internship-full-stack-web-developer-2026</t>
        </is>
      </c>
      <c r="T99" s="3" t="inlineStr">
        <is>
          <t>https://classroom.google.com/c/submissions/stu-098_task-fswd-202</t>
        </is>
      </c>
      <c r="U99" s="3" t="inlineStr">
        <is>
          <t>Task allocated. Awaiting student onboarding.</t>
        </is>
      </c>
      <c r="V99" s="3" t="n">
        <v>0</v>
      </c>
      <c r="W99" s="3" t="inlineStr">
        <is>
          <t>Active</t>
        </is>
      </c>
      <c r="X99" s="3" t="inlineStr">
        <is>
          <t>Sent</t>
        </is>
      </c>
      <c r="Y99" s="3" t="inlineStr">
        <is>
          <t>2026-10-26 11:34:25</t>
        </is>
      </c>
      <c r="Z99" s="3" t="inlineStr">
        <is>
          <t>Task deadline passed without submission. Overdue escalation sent.</t>
        </is>
      </c>
    </row>
    <row r="100">
      <c r="A100" s="2" t="inlineStr">
        <is>
          <t>STU-099</t>
        </is>
      </c>
      <c r="B100" s="2" t="inlineStr">
        <is>
          <t>Tom Sharma</t>
        </is>
      </c>
      <c r="C100" s="2" t="inlineStr">
        <is>
          <t>student099@example-interns.edu</t>
        </is>
      </c>
      <c r="D100" s="2" t="inlineStr">
        <is>
          <t>2026-09-10</t>
        </is>
      </c>
      <c r="E100" s="2" t="inlineStr">
        <is>
          <t>2026-12-10</t>
        </is>
      </c>
      <c r="F100" s="2" t="inlineStr">
        <is>
          <t>Data Analyst</t>
        </is>
      </c>
      <c r="G100" s="2" t="inlineStr">
        <is>
          <t>Sarah Jenkins</t>
        </is>
      </c>
      <c r="H100" s="2" t="inlineStr">
        <is>
          <t>sarah.jenkins@mentor-labs.org</t>
        </is>
      </c>
      <c r="I100" s="2" t="inlineStr">
        <is>
          <t>TASK-DATA-301</t>
        </is>
      </c>
      <c r="J100" s="2" t="inlineStr">
        <is>
          <t>Automated Multi-Source Retail Sales ETL &amp; KPI Dashboard</t>
        </is>
      </c>
      <c r="K100" s="2" t="inlineStr">
        <is>
          <t>Extract raw CSV and JSON transaction logs, clean nulls/outliers in Pandas, load into a star-schema database, and construct an interactive dashboard featuring MoM growth, cohort retention, and customer lifetime value.</t>
        </is>
      </c>
      <c r="L100" s="2" t="inlineStr">
        <is>
          <t>2026-09-12</t>
        </is>
      </c>
      <c r="M100" s="2" t="inlineStr">
        <is>
          <t>2026-09-20</t>
        </is>
      </c>
      <c r="N100" s="2" t="inlineStr">
        <is>
          <t>Overdue</t>
        </is>
      </c>
      <c r="O100" s="2" t="n">
        <v>0</v>
      </c>
      <c r="P100" s="2" t="inlineStr"/>
      <c r="Q100" s="2" t="inlineStr">
        <is>
          <t>2026-11-02</t>
        </is>
      </c>
      <c r="R100" s="2" t="inlineStr">
        <is>
          <t>15:00</t>
        </is>
      </c>
      <c r="S100" s="2" t="inlineStr">
        <is>
          <t>https://classroom.google.com/c/internship-data-analyst-2026</t>
        </is>
      </c>
      <c r="T100" s="2" t="inlineStr">
        <is>
          <t>https://classroom.google.com/c/submissions/stu-099_task-data-301</t>
        </is>
      </c>
      <c r="U100" s="2" t="inlineStr">
        <is>
          <t>Task allocated. Awaiting student onboarding.</t>
        </is>
      </c>
      <c r="V100" s="2" t="n">
        <v>0</v>
      </c>
      <c r="W100" s="2" t="inlineStr">
        <is>
          <t>Active</t>
        </is>
      </c>
      <c r="X100" s="2" t="inlineStr">
        <is>
          <t>Sent</t>
        </is>
      </c>
      <c r="Y100" s="2" t="inlineStr">
        <is>
          <t>2026-10-26 11:34:25</t>
        </is>
      </c>
      <c r="Z100" s="2" t="inlineStr">
        <is>
          <t>Task deadline passed without submission. Overdue escalation sent.</t>
        </is>
      </c>
    </row>
    <row r="101">
      <c r="A101" s="3" t="inlineStr">
        <is>
          <t>STU-100</t>
        </is>
      </c>
      <c r="B101" s="3" t="inlineStr">
        <is>
          <t>Valeria Williams</t>
        </is>
      </c>
      <c r="C101" s="3" t="inlineStr">
        <is>
          <t>student100@example-interns.edu</t>
        </is>
      </c>
      <c r="D101" s="3" t="inlineStr">
        <is>
          <t>2026-09-11</t>
        </is>
      </c>
      <c r="E101" s="3" t="inlineStr">
        <is>
          <t>2026-12-11</t>
        </is>
      </c>
      <c r="F101" s="3" t="inlineStr">
        <is>
          <t>Cloud &amp; DevOps Engineer</t>
        </is>
      </c>
      <c r="G101" s="3" t="inlineStr">
        <is>
          <t>Rajiv Mehta</t>
        </is>
      </c>
      <c r="H101" s="3" t="inlineStr">
        <is>
          <t>rajiv.mehta@mentor-labs.org</t>
        </is>
      </c>
      <c r="I101" s="3" t="inlineStr">
        <is>
          <t>TASK-DEVO-402</t>
        </is>
      </c>
      <c r="J101" s="3" t="inlineStr">
        <is>
          <t>Kubernetes Microservices Observability with Prometheus &amp; Grafana</t>
        </is>
      </c>
      <c r="K101" s="3" t="inlineStr">
        <is>
          <t>Deploy a 3-tier microservice onto Kubernetes (Minikube / k3s). Implement metric scraping with Prometheus, custom application dashboards in Grafana, and Slack/email Alertmanager rules for pod crash and latency spikes.</t>
        </is>
      </c>
      <c r="L101" s="3" t="inlineStr">
        <is>
          <t>2026-09-03</t>
        </is>
      </c>
      <c r="M101" s="3" t="inlineStr">
        <is>
          <t>2026-09-14</t>
        </is>
      </c>
      <c r="N101" s="3" t="inlineStr">
        <is>
          <t>Overdue</t>
        </is>
      </c>
      <c r="O101" s="3" t="n">
        <v>0</v>
      </c>
      <c r="P101" s="3" t="inlineStr"/>
      <c r="Q101" s="3" t="inlineStr">
        <is>
          <t>2026-11-02</t>
        </is>
      </c>
      <c r="R101" s="3" t="inlineStr">
        <is>
          <t>15:00</t>
        </is>
      </c>
      <c r="S101" s="3" t="inlineStr">
        <is>
          <t>https://classroom.google.com/c/internship-cloud-&amp;-devops-engineer-2026</t>
        </is>
      </c>
      <c r="T101" s="3" t="inlineStr">
        <is>
          <t>https://classroom.google.com/c/submissions/stu-100_task-devo-402</t>
        </is>
      </c>
      <c r="U101" s="3" t="inlineStr">
        <is>
          <t>Task allocated. Awaiting student onboarding.</t>
        </is>
      </c>
      <c r="V101" s="3" t="n">
        <v>0</v>
      </c>
      <c r="W101" s="3" t="inlineStr">
        <is>
          <t>Active</t>
        </is>
      </c>
      <c r="X101" s="3" t="inlineStr">
        <is>
          <t>Sent</t>
        </is>
      </c>
      <c r="Y101" s="3" t="inlineStr">
        <is>
          <t>2026-10-26 11:34:25</t>
        </is>
      </c>
      <c r="Z101" s="3" t="inlineStr">
        <is>
          <t>Task deadline passed without submission. Overdue escalation sent.</t>
        </is>
      </c>
    </row>
    <row r="102">
      <c r="A102" s="2" t="inlineStr">
        <is>
          <t>STU-E2E-TEST</t>
        </is>
      </c>
      <c r="B102" s="2" t="inlineStr">
        <is>
          <t>Devon Cross</t>
        </is>
      </c>
      <c r="C102" s="2" t="inlineStr">
        <is>
          <t>devon.cross@example-interns.edu</t>
        </is>
      </c>
      <c r="D102" s="2" t="inlineStr">
        <is>
          <t>2026-09-01</t>
        </is>
      </c>
      <c r="E102" s="2" t="inlineStr">
        <is>
          <t>2026-12-01</t>
        </is>
      </c>
      <c r="F102" s="2" t="inlineStr">
        <is>
          <t>AI/ML Engineer</t>
        </is>
      </c>
      <c r="G102" s="2" t="inlineStr">
        <is>
          <t>Dr. Aris Thorne</t>
        </is>
      </c>
      <c r="H102" s="2" t="inlineStr">
        <is>
          <t>aris.thorne@mentor-labs.org</t>
        </is>
      </c>
      <c r="I102" s="2" t="inlineStr">
        <is>
          <t>TASK-AIML-102</t>
        </is>
      </c>
      <c r="J102" s="2" t="inlineStr">
        <is>
          <t>RAG Knowledge Base Assistant using LangChain &amp; FAISS</t>
        </is>
      </c>
      <c r="K102" s="2" t="inlineStr">
        <is>
          <t>Create a domain-specific Q&amp;A chatbot using LangChain, text chunking, FAISS vector embeddings, and an open-source LLM or OpenAI API. Provide semantic citations and handle out-of-domain queries gracefully.</t>
        </is>
      </c>
      <c r="L102" s="2" t="inlineStr">
        <is>
          <t>2026-10-26</t>
        </is>
      </c>
      <c r="M102" s="2" t="inlineStr">
        <is>
          <t>2026-11-07</t>
        </is>
      </c>
      <c r="N102" s="2" t="inlineStr">
        <is>
          <t>Approved</t>
        </is>
      </c>
      <c r="O102" s="2" t="n">
        <v>2</v>
      </c>
      <c r="P102" s="2" t="n"/>
      <c r="Q102" s="2" t="inlineStr">
        <is>
          <t>2026-10-29</t>
        </is>
      </c>
      <c r="R102" s="2" t="inlineStr">
        <is>
          <t>14:00</t>
        </is>
      </c>
      <c r="S102" s="2" t="inlineStr">
        <is>
          <t>https://classroom.google.com/c/internship-ai-ml-engineer-2026</t>
        </is>
      </c>
      <c r="T102" s="2" t="inlineStr">
        <is>
          <t>https://classroom.google.com/c/submissions/stu-e2e-test_task-aiml-102</t>
        </is>
      </c>
      <c r="U102" s="2" t="inlineStr">
        <is>
          <t>Approved by Dr. Aris Thorne (Score: 92/100). Excellent revision addressing all comments.</t>
        </is>
      </c>
      <c r="V102" s="2" t="n">
        <v>50</v>
      </c>
      <c r="W102" s="2" t="inlineStr">
        <is>
          <t>Active</t>
        </is>
      </c>
      <c r="X102" s="2" t="inlineStr">
        <is>
          <t>Sent</t>
        </is>
      </c>
      <c r="Y102" s="2" t="inlineStr">
        <is>
          <t>2026-10-26 12:42:19</t>
        </is>
      </c>
      <c r="Z102" s="2" t="inlineStr">
        <is>
          <t>Task TASK-AIML-102 approved. Internship status: Active.</t>
        </is>
      </c>
    </row>
  </sheetData>
  <dataValidations count="2">
    <dataValidation sqref="N2:N500" showDropDown="0" showInputMessage="0" showErrorMessage="0" allowBlank="1" type="list">
      <formula1>"Not Started,Assigned,In Progress,Submitted,Under Review,Corrections Required,Resubmission Pending,Approved,Completed,Overdue,On Hold"</formula1>
    </dataValidation>
    <dataValidation sqref="W2:W500" showDropDown="0" showInputMessage="0" showErrorMessage="0" allowBlank="1" type="list">
      <formula1>"Not Started,Active,In Progress,Nearing Completion,Completed,Extended,On Hold,Terminated"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8"/>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40" customWidth="1" min="3" max="3"/>
    <col width="15" customWidth="1" min="4" max="4"/>
    <col width="19" customWidth="1" min="5" max="5"/>
    <col width="34" customWidth="1" min="6" max="6"/>
    <col width="16" customWidth="1" min="7" max="7"/>
    <col width="13" customWidth="1" min="8" max="8"/>
    <col width="16" customWidth="1" min="9" max="9"/>
    <col width="40" customWidth="1" min="10" max="10"/>
    <col width="40" customWidth="1" min="11" max="11"/>
    <col width="23" customWidth="1" min="12" max="12"/>
    <col width="26" customWidth="1" min="13" max="13"/>
  </cols>
  <sheetData>
    <row r="1" ht="26" customHeight="1">
      <c r="A1" s="1" t="inlineStr">
        <is>
          <t>Task ID</t>
        </is>
      </c>
      <c r="B1" s="1" t="inlineStr">
        <is>
          <t>Task Title</t>
        </is>
      </c>
      <c r="C1" s="1" t="inlineStr">
        <is>
          <t>Task Description</t>
        </is>
      </c>
      <c r="D1" s="1" t="inlineStr">
        <is>
          <t>Student ID</t>
        </is>
      </c>
      <c r="E1" s="1" t="inlineStr">
        <is>
          <t>Student Name</t>
        </is>
      </c>
      <c r="F1" s="1" t="inlineStr">
        <is>
          <t>Student Email</t>
        </is>
      </c>
      <c r="G1" s="1" t="inlineStr">
        <is>
          <t>Assigned Date</t>
        </is>
      </c>
      <c r="H1" s="1" t="inlineStr">
        <is>
          <t>Deadline</t>
        </is>
      </c>
      <c r="I1" s="1" t="inlineStr">
        <is>
          <t>Task Priority</t>
        </is>
      </c>
      <c r="J1" s="1" t="inlineStr">
        <is>
          <t>Required Deliverables</t>
        </is>
      </c>
      <c r="K1" s="1" t="inlineStr">
        <is>
          <t>Submission Link</t>
        </is>
      </c>
      <c r="L1" s="1" t="inlineStr">
        <is>
          <t>Task Status</t>
        </is>
      </c>
      <c r="M1" s="1" t="inlineStr">
        <is>
          <t>Allocation Email Status</t>
        </is>
      </c>
    </row>
    <row r="2">
      <c r="A2" s="2" t="inlineStr">
        <is>
          <t>TASK-AIML-102</t>
        </is>
      </c>
      <c r="B2" s="2" t="inlineStr">
        <is>
          <t>RAG Knowledge Base Assistant using LangChain &amp; FAISS</t>
        </is>
      </c>
      <c r="C2" s="2" t="inlineStr">
        <is>
          <t>Create a domain-specific Q&amp;A chatbot using LangChain, text chunking, FAISS vector embeddings, and an open-source LLM or OpenAI API. Provide semantic citations and handle out-of-domain queries gracefully.</t>
        </is>
      </c>
      <c r="D2" s="2" t="inlineStr">
        <is>
          <t>STU-E2E-TEST</t>
        </is>
      </c>
      <c r="E2" s="2" t="inlineStr">
        <is>
          <t>Devon Cross</t>
        </is>
      </c>
      <c r="F2" s="2" t="inlineStr">
        <is>
          <t>devon.cross@example-interns.edu</t>
        </is>
      </c>
      <c r="G2" s="2" t="inlineStr">
        <is>
          <t>2026-10-26</t>
        </is>
      </c>
      <c r="H2" s="2" t="inlineStr">
        <is>
          <t>2026-11-07</t>
        </is>
      </c>
      <c r="I2" s="2" t="inlineStr">
        <is>
          <t>High</t>
        </is>
      </c>
      <c r="J2" s="2" t="inlineStr">
        <is>
          <t>1. Document ingestion &amp; chunking pipeline
2. Vector indexing script
3. Retrieval chain module with source citation
4. Streamlit UI interface
5. Architecture diagram and evaluation benchmark</t>
        </is>
      </c>
      <c r="K2" s="2" t="inlineStr">
        <is>
          <t>https://classroom.google.com/c/submissions/stu-e2e-test_task-aiml-102</t>
        </is>
      </c>
      <c r="L2" s="2" t="inlineStr">
        <is>
          <t>Assigned</t>
        </is>
      </c>
      <c r="M2" s="2" t="inlineStr">
        <is>
          <t>Sent</t>
        </is>
      </c>
    </row>
    <row r="3">
      <c r="A3" s="3" t="inlineStr">
        <is>
          <t>TASK-MOBL-501</t>
        </is>
      </c>
      <c r="B3" s="3" t="inlineStr">
        <is>
          <t>Cross-Platform Habit Tracker with Offline SQLite &amp; Push Alerts</t>
        </is>
      </c>
      <c r="C3" s="3" t="inlineStr">
        <is>
          <t>Build a cross-platform mobile application (React Native or Flutter) that allows users to track daily habits, streaks, and completion analytics. Implement local SQLite persistence with background push notification reminders.</t>
        </is>
      </c>
      <c r="D3" s="3" t="inlineStr">
        <is>
          <t>STU-095</t>
        </is>
      </c>
      <c r="E3" s="3" t="inlineStr">
        <is>
          <t>Oscar Nguyen</t>
        </is>
      </c>
      <c r="F3" s="3" t="inlineStr">
        <is>
          <t>student095@example-interns.edu</t>
        </is>
      </c>
      <c r="G3" s="3" t="inlineStr">
        <is>
          <t>2026-10-26</t>
        </is>
      </c>
      <c r="H3" s="3" t="inlineStr">
        <is>
          <t>2026-11-05</t>
        </is>
      </c>
      <c r="I3" s="3" t="inlineStr">
        <is>
          <t>Medium</t>
        </is>
      </c>
      <c r="J3" s="3" t="inlineStr">
        <is>
          <t>1. Mobile application source code
2. Local SQLite database schema and ORM layer
3. Scheduled local notification service
4. APK / test bundle
5. Architecture and state management breakdown</t>
        </is>
      </c>
      <c r="K3" s="3" t="inlineStr">
        <is>
          <t>https://classroom.google.com/c/submissions/stu-095_task-mobl-501</t>
        </is>
      </c>
      <c r="L3" s="3" t="inlineStr">
        <is>
          <t>Assigned</t>
        </is>
      </c>
      <c r="M3" s="3" t="inlineStr">
        <is>
          <t>Failed</t>
        </is>
      </c>
    </row>
    <row r="4">
      <c r="A4" s="2" t="inlineStr">
        <is>
          <t>TASK-MOBL-501</t>
        </is>
      </c>
      <c r="B4" s="2" t="inlineStr">
        <is>
          <t>Cross-Platform Habit Tracker with Offline SQLite &amp; Push Alerts</t>
        </is>
      </c>
      <c r="C4" s="2" t="inlineStr">
        <is>
          <t>Build a cross-platform mobile application (React Native or Flutter) that allows users to track daily habits, streaks, and completion analytics. Implement local SQLite persistence with background push notification reminders.</t>
        </is>
      </c>
      <c r="D4" s="2" t="inlineStr">
        <is>
          <t>STU-095</t>
        </is>
      </c>
      <c r="E4" s="2" t="inlineStr">
        <is>
          <t>Oscar Nguyen</t>
        </is>
      </c>
      <c r="F4" s="2" t="inlineStr">
        <is>
          <t>student095@example-interns.edu</t>
        </is>
      </c>
      <c r="G4" s="2" t="inlineStr">
        <is>
          <t>2026-10-26</t>
        </is>
      </c>
      <c r="H4" s="2" t="inlineStr">
        <is>
          <t>2026-11-05</t>
        </is>
      </c>
      <c r="I4" s="2" t="inlineStr">
        <is>
          <t>Medium</t>
        </is>
      </c>
      <c r="J4" s="2" t="inlineStr">
        <is>
          <t>1. Mobile application source code
2. Local SQLite database schema and ORM layer
3. Scheduled local notification service
4. APK / test bundle
5. Architecture and state management breakdown</t>
        </is>
      </c>
      <c r="K4" s="2" t="inlineStr">
        <is>
          <t>https://classroom.google.com/c/submissions/stu-095_task-mobl-501</t>
        </is>
      </c>
      <c r="L4" s="2" t="inlineStr">
        <is>
          <t>Assigned</t>
        </is>
      </c>
      <c r="M4" s="2" t="inlineStr">
        <is>
          <t>Failed</t>
        </is>
      </c>
    </row>
    <row r="5">
      <c r="A5" s="3" t="inlineStr">
        <is>
          <t>TASK-MOBL-501</t>
        </is>
      </c>
      <c r="B5" s="3" t="inlineStr">
        <is>
          <t>Cross-Platform Habit Tracker with Offline SQLite &amp; Push Alerts</t>
        </is>
      </c>
      <c r="C5" s="3" t="inlineStr">
        <is>
          <t>Build a cross-platform mobile application (React Native or Flutter) that allows users to track daily habits, streaks, and completion analytics. Implement local SQLite persistence with background push notification reminders.</t>
        </is>
      </c>
      <c r="D5" s="3" t="inlineStr">
        <is>
          <t>STU-095</t>
        </is>
      </c>
      <c r="E5" s="3" t="inlineStr">
        <is>
          <t>Oscar Nguyen</t>
        </is>
      </c>
      <c r="F5" s="3" t="inlineStr">
        <is>
          <t>student095@example-interns.edu</t>
        </is>
      </c>
      <c r="G5" s="3" t="inlineStr">
        <is>
          <t>2026-10-26</t>
        </is>
      </c>
      <c r="H5" s="3" t="inlineStr">
        <is>
          <t>2026-11-05</t>
        </is>
      </c>
      <c r="I5" s="3" t="inlineStr">
        <is>
          <t>Medium</t>
        </is>
      </c>
      <c r="J5" s="3" t="inlineStr">
        <is>
          <t>1. Mobile application source code
2. Local SQLite database schema and ORM layer
3. Scheduled local notification service
4. APK / test bundle
5. Architecture and state management breakdown</t>
        </is>
      </c>
      <c r="K5" s="3" t="inlineStr">
        <is>
          <t>https://classroom.google.com/c/submissions/stu-095_task-mobl-501</t>
        </is>
      </c>
      <c r="L5" s="3" t="inlineStr">
        <is>
          <t>Assigned</t>
        </is>
      </c>
      <c r="M5" s="3" t="inlineStr">
        <is>
          <t>Failed</t>
        </is>
      </c>
    </row>
    <row r="6">
      <c r="A6" s="2" t="inlineStr">
        <is>
          <t>TASK-MOBL-501</t>
        </is>
      </c>
      <c r="B6" s="2" t="inlineStr">
        <is>
          <t>Cross-Platform Habit Tracker with Offline SQLite &amp; Push Alerts</t>
        </is>
      </c>
      <c r="C6" s="2" t="inlineStr">
        <is>
          <t>Build a cross-platform mobile application (React Native or Flutter) that allows users to track daily habits, streaks, and completion analytics. Implement local SQLite persistence with background push notification reminders.</t>
        </is>
      </c>
      <c r="D6" s="2" t="inlineStr">
        <is>
          <t>STU-095</t>
        </is>
      </c>
      <c r="E6" s="2" t="inlineStr">
        <is>
          <t>Oscar Nguyen</t>
        </is>
      </c>
      <c r="F6" s="2" t="inlineStr">
        <is>
          <t>student095@example-interns.edu</t>
        </is>
      </c>
      <c r="G6" s="2" t="inlineStr">
        <is>
          <t>2026-10-26</t>
        </is>
      </c>
      <c r="H6" s="2" t="inlineStr">
        <is>
          <t>2026-11-05</t>
        </is>
      </c>
      <c r="I6" s="2" t="inlineStr">
        <is>
          <t>Medium</t>
        </is>
      </c>
      <c r="J6" s="2" t="inlineStr">
        <is>
          <t>1. Mobile application source code
2. Local SQLite database schema and ORM layer
3. Scheduled local notification service
4. APK / test bundle
5. Architecture and state management breakdown</t>
        </is>
      </c>
      <c r="K6" s="2" t="inlineStr">
        <is>
          <t>https://classroom.google.com/c/submissions/stu-095_task-mobl-501</t>
        </is>
      </c>
      <c r="L6" s="2" t="inlineStr">
        <is>
          <t>Assigned</t>
        </is>
      </c>
      <c r="M6" s="2" t="inlineStr">
        <is>
          <t>Failed</t>
        </is>
      </c>
    </row>
    <row r="7">
      <c r="A7" s="3" t="inlineStr">
        <is>
          <t>TASK-MOBL-501</t>
        </is>
      </c>
      <c r="B7" s="3" t="inlineStr">
        <is>
          <t>Cross-Platform Habit Tracker with Offline SQLite &amp; Push Alerts</t>
        </is>
      </c>
      <c r="C7" s="3" t="inlineStr">
        <is>
          <t>Build a cross-platform mobile application (React Native or Flutter) that allows users to track daily habits, streaks, and completion analytics. Implement local SQLite persistence with background push notification reminders.</t>
        </is>
      </c>
      <c r="D7" s="3" t="inlineStr">
        <is>
          <t>STU-095</t>
        </is>
      </c>
      <c r="E7" s="3" t="inlineStr">
        <is>
          <t>Oscar Nguyen</t>
        </is>
      </c>
      <c r="F7" s="3" t="inlineStr">
        <is>
          <t>student095@example-interns.edu</t>
        </is>
      </c>
      <c r="G7" s="3" t="inlineStr">
        <is>
          <t>2026-10-26</t>
        </is>
      </c>
      <c r="H7" s="3" t="inlineStr">
        <is>
          <t>2026-11-05</t>
        </is>
      </c>
      <c r="I7" s="3" t="inlineStr">
        <is>
          <t>Medium</t>
        </is>
      </c>
      <c r="J7" s="3" t="inlineStr">
        <is>
          <t>1. Mobile application source code
2. Local SQLite database schema and ORM layer
3. Scheduled local notification service
4. APK / test bundle
5. Architecture and state management breakdown</t>
        </is>
      </c>
      <c r="K7" s="3" t="inlineStr">
        <is>
          <t>https://classroom.google.com/c/submissions/stu-095_task-mobl-501</t>
        </is>
      </c>
      <c r="L7" s="3" t="inlineStr">
        <is>
          <t>Assigned</t>
        </is>
      </c>
      <c r="M7" s="3" t="inlineStr">
        <is>
          <t>Failed</t>
        </is>
      </c>
    </row>
    <row r="8">
      <c r="A8" s="2" t="inlineStr">
        <is>
          <t>TASK-MOBL-501</t>
        </is>
      </c>
      <c r="B8" s="2" t="inlineStr">
        <is>
          <t>Cross-Platform Habit Tracker with Offline SQLite &amp; Push Alerts</t>
        </is>
      </c>
      <c r="C8" s="2" t="inlineStr">
        <is>
          <t>Build a cross-platform mobile application (React Native or Flutter) that allows users to track daily habits, streaks, and completion analytics. Implement local SQLite persistence with background push notification reminders.</t>
        </is>
      </c>
      <c r="D8" s="2" t="inlineStr">
        <is>
          <t>STU-095</t>
        </is>
      </c>
      <c r="E8" s="2" t="inlineStr">
        <is>
          <t>Oscar Nguyen</t>
        </is>
      </c>
      <c r="F8" s="2" t="inlineStr">
        <is>
          <t>student095@example-interns.edu</t>
        </is>
      </c>
      <c r="G8" s="2" t="inlineStr">
        <is>
          <t>2026-10-26</t>
        </is>
      </c>
      <c r="H8" s="2" t="inlineStr">
        <is>
          <t>2026-11-05</t>
        </is>
      </c>
      <c r="I8" s="2" t="inlineStr">
        <is>
          <t>Medium</t>
        </is>
      </c>
      <c r="J8" s="2" t="inlineStr">
        <is>
          <t>1. Mobile application source code
2. Local SQLite database schema and ORM layer
3. Scheduled local notification service
4. APK / test bundle
5. Architecture and state management breakdown</t>
        </is>
      </c>
      <c r="K8" s="2" t="inlineStr">
        <is>
          <t>https://classroom.google.com/c/submissions/stu-095_task-mobl-501</t>
        </is>
      </c>
      <c r="L8" s="2" t="inlineStr">
        <is>
          <t>Assigned</t>
        </is>
      </c>
      <c r="M8" s="2" t="inlineStr">
        <is>
          <t>Failed</t>
        </is>
      </c>
    </row>
    <row r="9">
      <c r="A9" s="3" t="inlineStr">
        <is>
          <t>TASK-MOBL-501</t>
        </is>
      </c>
      <c r="B9" s="3" t="inlineStr">
        <is>
          <t>Cross-Platform Habit Tracker with Offline SQLite &amp; Push Alerts</t>
        </is>
      </c>
      <c r="C9" s="3" t="inlineStr">
        <is>
          <t>Build a cross-platform mobile application (React Native or Flutter) that allows users to track daily habits, streaks, and completion analytics. Implement local SQLite persistence with background push notification reminders.</t>
        </is>
      </c>
      <c r="D9" s="3" t="inlineStr">
        <is>
          <t>STU-095</t>
        </is>
      </c>
      <c r="E9" s="3" t="inlineStr">
        <is>
          <t>Oscar Nguyen</t>
        </is>
      </c>
      <c r="F9" s="3" t="inlineStr">
        <is>
          <t>student095@example-interns.edu</t>
        </is>
      </c>
      <c r="G9" s="3" t="inlineStr">
        <is>
          <t>2026-10-26</t>
        </is>
      </c>
      <c r="H9" s="3" t="inlineStr">
        <is>
          <t>2026-11-05</t>
        </is>
      </c>
      <c r="I9" s="3" t="inlineStr">
        <is>
          <t>Medium</t>
        </is>
      </c>
      <c r="J9" s="3" t="inlineStr">
        <is>
          <t>1. Mobile application source code
2. Local SQLite database schema and ORM layer
3. Scheduled local notification service
4. APK / test bundle
5. Architecture and state management breakdown</t>
        </is>
      </c>
      <c r="K9" s="3" t="inlineStr">
        <is>
          <t>https://classroom.google.com/c/submissions/stu-095_task-mobl-501</t>
        </is>
      </c>
      <c r="L9" s="3" t="inlineStr">
        <is>
          <t>Assigned</t>
        </is>
      </c>
      <c r="M9" s="3" t="inlineStr">
        <is>
          <t>Failed</t>
        </is>
      </c>
    </row>
    <row r="10">
      <c r="A10" s="2" t="inlineStr">
        <is>
          <t>TASK-MOBL-501</t>
        </is>
      </c>
      <c r="B10" s="2" t="inlineStr">
        <is>
          <t>Cross-Platform Habit Tracker with Offline SQLite &amp; Push Alerts</t>
        </is>
      </c>
      <c r="C10" s="2" t="inlineStr">
        <is>
          <t>Build a cross-platform mobile application (React Native or Flutter) that allows users to track daily habits, streaks, and completion analytics. Implement local SQLite persistence with background push notification reminders.</t>
        </is>
      </c>
      <c r="D10" s="2" t="inlineStr">
        <is>
          <t>STU-095</t>
        </is>
      </c>
      <c r="E10" s="2" t="inlineStr">
        <is>
          <t>Oscar Nguyen</t>
        </is>
      </c>
      <c r="F10" s="2" t="inlineStr">
        <is>
          <t>student095@example-interns.edu</t>
        </is>
      </c>
      <c r="G10" s="2" t="inlineStr">
        <is>
          <t>2026-10-26</t>
        </is>
      </c>
      <c r="H10" s="2" t="inlineStr">
        <is>
          <t>2026-11-05</t>
        </is>
      </c>
      <c r="I10" s="2" t="inlineStr">
        <is>
          <t>Medium</t>
        </is>
      </c>
      <c r="J10" s="2" t="inlineStr">
        <is>
          <t>1. Mobile application source code
2. Local SQLite database schema and ORM layer
3. Scheduled local notification service
4. APK / test bundle
5. Architecture and state management breakdown</t>
        </is>
      </c>
      <c r="K10" s="2" t="inlineStr">
        <is>
          <t>https://classroom.google.com/c/submissions/stu-095_task-mobl-501</t>
        </is>
      </c>
      <c r="L10" s="2" t="inlineStr">
        <is>
          <t>Assigned</t>
        </is>
      </c>
      <c r="M10" s="2" t="inlineStr">
        <is>
          <t>Failed</t>
        </is>
      </c>
    </row>
    <row r="11">
      <c r="A11" s="3" t="inlineStr">
        <is>
          <t>TASK-MOBL-501</t>
        </is>
      </c>
      <c r="B11" s="3" t="inlineStr">
        <is>
          <t>Cross-Platform Habit Tracker with Offline SQLite &amp; Push Alerts</t>
        </is>
      </c>
      <c r="C11" s="3" t="inlineStr">
        <is>
          <t>Build a cross-platform mobile application (React Native or Flutter) that allows users to track daily habits, streaks, and completion analytics. Implement local SQLite persistence with background push notification reminders.</t>
        </is>
      </c>
      <c r="D11" s="3" t="inlineStr">
        <is>
          <t>STU-095</t>
        </is>
      </c>
      <c r="E11" s="3" t="inlineStr">
        <is>
          <t>Oscar Nguyen</t>
        </is>
      </c>
      <c r="F11" s="3" t="inlineStr">
        <is>
          <t>student095@example-interns.edu</t>
        </is>
      </c>
      <c r="G11" s="3" t="inlineStr">
        <is>
          <t>2026-10-26</t>
        </is>
      </c>
      <c r="H11" s="3" t="inlineStr">
        <is>
          <t>2026-11-05</t>
        </is>
      </c>
      <c r="I11" s="3" t="inlineStr">
        <is>
          <t>Medium</t>
        </is>
      </c>
      <c r="J11" s="3" t="inlineStr">
        <is>
          <t>1. Mobile application source code
2. Local SQLite database schema and ORM layer
3. Scheduled local notification service
4. APK / test bundle
5. Architecture and state management breakdown</t>
        </is>
      </c>
      <c r="K11" s="3" t="inlineStr">
        <is>
          <t>https://classroom.google.com/c/submissions/stu-095_task-mobl-501</t>
        </is>
      </c>
      <c r="L11" s="3" t="inlineStr">
        <is>
          <t>Assigned</t>
        </is>
      </c>
      <c r="M11" s="3" t="inlineStr">
        <is>
          <t>Failed</t>
        </is>
      </c>
    </row>
    <row r="12">
      <c r="A12" s="2" t="inlineStr">
        <is>
          <t>TASK-MOBL-501</t>
        </is>
      </c>
      <c r="B12" s="2" t="inlineStr">
        <is>
          <t>Cross-Platform Habit Tracker with Offline SQLite &amp; Push Alerts</t>
        </is>
      </c>
      <c r="C12" s="2" t="inlineStr">
        <is>
          <t>Build a cross-platform mobile application (React Native or Flutter) that allows users to track daily habits, streaks, and completion analytics. Implement local SQLite persistence with background push notification reminders.</t>
        </is>
      </c>
      <c r="D12" s="2" t="inlineStr">
        <is>
          <t>STU-095</t>
        </is>
      </c>
      <c r="E12" s="2" t="inlineStr">
        <is>
          <t>Oscar Nguyen</t>
        </is>
      </c>
      <c r="F12" s="2" t="inlineStr">
        <is>
          <t>student095@example-interns.edu</t>
        </is>
      </c>
      <c r="G12" s="2" t="inlineStr">
        <is>
          <t>2026-10-26</t>
        </is>
      </c>
      <c r="H12" s="2" t="inlineStr">
        <is>
          <t>2026-11-05</t>
        </is>
      </c>
      <c r="I12" s="2" t="inlineStr">
        <is>
          <t>Medium</t>
        </is>
      </c>
      <c r="J12" s="2" t="inlineStr">
        <is>
          <t>1. Mobile application source code
2. Local SQLite database schema and ORM layer
3. Scheduled local notification service
4. APK / test bundle
5. Architecture and state management breakdown</t>
        </is>
      </c>
      <c r="K12" s="2" t="inlineStr">
        <is>
          <t>https://classroom.google.com/c/submissions/stu-095_task-mobl-501</t>
        </is>
      </c>
      <c r="L12" s="2" t="inlineStr">
        <is>
          <t>Assigned</t>
        </is>
      </c>
      <c r="M12" s="2" t="inlineStr">
        <is>
          <t>Failed</t>
        </is>
      </c>
    </row>
    <row r="13">
      <c r="A13" s="3" t="inlineStr">
        <is>
          <t>TASK-MOBL-501</t>
        </is>
      </c>
      <c r="B13" s="3" t="inlineStr">
        <is>
          <t>Cross-Platform Habit Tracker with Offline SQLite &amp; Push Alerts</t>
        </is>
      </c>
      <c r="C13" s="3" t="inlineStr">
        <is>
          <t>Build a cross-platform mobile application (React Native or Flutter) that allows users to track daily habits, streaks, and completion analytics. Implement local SQLite persistence with background push notification reminders.</t>
        </is>
      </c>
      <c r="D13" s="3" t="inlineStr">
        <is>
          <t>STU-095</t>
        </is>
      </c>
      <c r="E13" s="3" t="inlineStr">
        <is>
          <t>Oscar Nguyen</t>
        </is>
      </c>
      <c r="F13" s="3" t="inlineStr">
        <is>
          <t>student095@example-interns.edu</t>
        </is>
      </c>
      <c r="G13" s="3" t="inlineStr">
        <is>
          <t>2026-10-26</t>
        </is>
      </c>
      <c r="H13" s="3" t="inlineStr">
        <is>
          <t>2026-11-05</t>
        </is>
      </c>
      <c r="I13" s="3" t="inlineStr">
        <is>
          <t>Medium</t>
        </is>
      </c>
      <c r="J13" s="3" t="inlineStr">
        <is>
          <t>1. Mobile application source code
2. Local SQLite database schema and ORM layer
3. Scheduled local notification service
4. APK / test bundle
5. Architecture and state management breakdown</t>
        </is>
      </c>
      <c r="K13" s="3" t="inlineStr">
        <is>
          <t>https://classroom.google.com/c/submissions/stu-095_task-mobl-501</t>
        </is>
      </c>
      <c r="L13" s="3" t="inlineStr">
        <is>
          <t>Assigned</t>
        </is>
      </c>
      <c r="M13" s="3" t="inlineStr">
        <is>
          <t>Failed</t>
        </is>
      </c>
    </row>
    <row r="14">
      <c r="A14" s="2" t="inlineStr">
        <is>
          <t>TASK-MOBL-501</t>
        </is>
      </c>
      <c r="B14" s="2" t="inlineStr">
        <is>
          <t>Cross-Platform Habit Tracker with Offline SQLite &amp; Push Alerts</t>
        </is>
      </c>
      <c r="C14" s="2" t="inlineStr">
        <is>
          <t>Build a cross-platform mobile application (React Native or Flutter) that allows users to track daily habits, streaks, and completion analytics. Implement local SQLite persistence with background push notification reminders.</t>
        </is>
      </c>
      <c r="D14" s="2" t="inlineStr">
        <is>
          <t>STU-095</t>
        </is>
      </c>
      <c r="E14" s="2" t="inlineStr">
        <is>
          <t>Oscar Nguyen</t>
        </is>
      </c>
      <c r="F14" s="2" t="inlineStr">
        <is>
          <t>student095@example-interns.edu</t>
        </is>
      </c>
      <c r="G14" s="2" t="inlineStr">
        <is>
          <t>2026-10-26</t>
        </is>
      </c>
      <c r="H14" s="2" t="inlineStr">
        <is>
          <t>2026-11-05</t>
        </is>
      </c>
      <c r="I14" s="2" t="inlineStr">
        <is>
          <t>Medium</t>
        </is>
      </c>
      <c r="J14" s="2" t="inlineStr">
        <is>
          <t>1. Mobile application source code
2. Local SQLite database schema and ORM layer
3. Scheduled local notification service
4. APK / test bundle
5. Architecture and state management breakdown</t>
        </is>
      </c>
      <c r="K14" s="2" t="inlineStr">
        <is>
          <t>https://classroom.google.com/c/submissions/stu-095_task-mobl-501</t>
        </is>
      </c>
      <c r="L14" s="2" t="inlineStr">
        <is>
          <t>Assigned</t>
        </is>
      </c>
      <c r="M14" s="2" t="inlineStr">
        <is>
          <t>Failed</t>
        </is>
      </c>
    </row>
    <row r="15">
      <c r="A15" s="3" t="inlineStr">
        <is>
          <t>TASK-MOBL-501</t>
        </is>
      </c>
      <c r="B15" s="3" t="inlineStr">
        <is>
          <t>Cross-Platform Habit Tracker with Offline SQLite &amp; Push Alerts</t>
        </is>
      </c>
      <c r="C15" s="3" t="inlineStr">
        <is>
          <t>Build a cross-platform mobile application (React Native or Flutter) that allows users to track daily habits, streaks, and completion analytics. Implement local SQLite persistence with background push notification reminders.</t>
        </is>
      </c>
      <c r="D15" s="3" t="inlineStr">
        <is>
          <t>STU-095</t>
        </is>
      </c>
      <c r="E15" s="3" t="inlineStr">
        <is>
          <t>Oscar Nguyen</t>
        </is>
      </c>
      <c r="F15" s="3" t="inlineStr">
        <is>
          <t>student095@example-interns.edu</t>
        </is>
      </c>
      <c r="G15" s="3" t="inlineStr">
        <is>
          <t>2026-10-26</t>
        </is>
      </c>
      <c r="H15" s="3" t="inlineStr">
        <is>
          <t>2026-11-05</t>
        </is>
      </c>
      <c r="I15" s="3" t="inlineStr">
        <is>
          <t>Medium</t>
        </is>
      </c>
      <c r="J15" s="3" t="inlineStr">
        <is>
          <t>1. Mobile application source code
2. Local SQLite database schema and ORM layer
3. Scheduled local notification service
4. APK / test bundle
5. Architecture and state management breakdown</t>
        </is>
      </c>
      <c r="K15" s="3" t="inlineStr">
        <is>
          <t>https://classroom.google.com/c/submissions/stu-095_task-mobl-501</t>
        </is>
      </c>
      <c r="L15" s="3" t="inlineStr">
        <is>
          <t>Assigned</t>
        </is>
      </c>
      <c r="M15" s="3" t="inlineStr">
        <is>
          <t>Failed</t>
        </is>
      </c>
    </row>
    <row r="16">
      <c r="A16" s="2" t="inlineStr">
        <is>
          <t>TASK-MOBL-501</t>
        </is>
      </c>
      <c r="B16" s="2" t="inlineStr">
        <is>
          <t>Cross-Platform Habit Tracker with Offline SQLite &amp; Push Alerts</t>
        </is>
      </c>
      <c r="C16" s="2" t="inlineStr">
        <is>
          <t>Build a cross-platform mobile application (React Native or Flutter) that allows users to track daily habits, streaks, and completion analytics. Implement local SQLite persistence with background push notification reminders.</t>
        </is>
      </c>
      <c r="D16" s="2" t="inlineStr">
        <is>
          <t>STU-095</t>
        </is>
      </c>
      <c r="E16" s="2" t="inlineStr">
        <is>
          <t>Oscar Nguyen</t>
        </is>
      </c>
      <c r="F16" s="2" t="inlineStr">
        <is>
          <t>student095@example-interns.edu</t>
        </is>
      </c>
      <c r="G16" s="2" t="inlineStr">
        <is>
          <t>2026-10-26</t>
        </is>
      </c>
      <c r="H16" s="2" t="inlineStr">
        <is>
          <t>2026-11-05</t>
        </is>
      </c>
      <c r="I16" s="2" t="inlineStr">
        <is>
          <t>Medium</t>
        </is>
      </c>
      <c r="J16" s="2" t="inlineStr">
        <is>
          <t>1. Mobile application source code
2. Local SQLite database schema and ORM layer
3. Scheduled local notification service
4. APK / test bundle
5. Architecture and state management breakdown</t>
        </is>
      </c>
      <c r="K16" s="2" t="inlineStr">
        <is>
          <t>https://classroom.google.com/c/submissions/stu-095_task-mobl-501</t>
        </is>
      </c>
      <c r="L16" s="2" t="inlineStr">
        <is>
          <t>Assigned</t>
        </is>
      </c>
      <c r="M16" s="2" t="inlineStr">
        <is>
          <t>Failed</t>
        </is>
      </c>
    </row>
    <row r="17">
      <c r="A17" s="3" t="inlineStr">
        <is>
          <t>TASK-MOBL-501</t>
        </is>
      </c>
      <c r="B17" s="3" t="inlineStr">
        <is>
          <t>Cross-Platform Habit Tracker with Offline SQLite &amp; Push Alerts</t>
        </is>
      </c>
      <c r="C17" s="3" t="inlineStr">
        <is>
          <t>Build a cross-platform mobile application (React Native or Flutter) that allows users to track daily habits, streaks, and completion analytics. Implement local SQLite persistence with background push notification reminders.</t>
        </is>
      </c>
      <c r="D17" s="3" t="inlineStr">
        <is>
          <t>STU-095</t>
        </is>
      </c>
      <c r="E17" s="3" t="inlineStr">
        <is>
          <t>Oscar Nguyen</t>
        </is>
      </c>
      <c r="F17" s="3" t="inlineStr">
        <is>
          <t>student095@example-interns.edu</t>
        </is>
      </c>
      <c r="G17" s="3" t="inlineStr">
        <is>
          <t>2026-10-26</t>
        </is>
      </c>
      <c r="H17" s="3" t="inlineStr">
        <is>
          <t>2026-11-05</t>
        </is>
      </c>
      <c r="I17" s="3" t="inlineStr">
        <is>
          <t>Medium</t>
        </is>
      </c>
      <c r="J17" s="3" t="inlineStr">
        <is>
          <t>1. Mobile application source code
2. Local SQLite database schema and ORM layer
3. Scheduled local notification service
4. APK / test bundle
5. Architecture and state management breakdown</t>
        </is>
      </c>
      <c r="K17" s="3" t="inlineStr">
        <is>
          <t>https://classroom.google.com/c/submissions/stu-095_task-mobl-501</t>
        </is>
      </c>
      <c r="L17" s="3" t="inlineStr">
        <is>
          <t>Assigned</t>
        </is>
      </c>
      <c r="M17" s="3" t="inlineStr">
        <is>
          <t>Failed</t>
        </is>
      </c>
    </row>
    <row r="18">
      <c r="A18" s="2" t="inlineStr">
        <is>
          <t>TASK-MOBL-501</t>
        </is>
      </c>
      <c r="B18" s="2" t="inlineStr">
        <is>
          <t>Cross-Platform Habit Tracker with Offline SQLite &amp; Push Alerts</t>
        </is>
      </c>
      <c r="C18" s="2" t="inlineStr">
        <is>
          <t>Build a cross-platform mobile application (React Native or Flutter) that allows users to track daily habits, streaks, and completion analytics. Implement local SQLite persistence with background push notification reminders.</t>
        </is>
      </c>
      <c r="D18" s="2" t="inlineStr">
        <is>
          <t>STU-095</t>
        </is>
      </c>
      <c r="E18" s="2" t="inlineStr">
        <is>
          <t>Oscar Nguyen</t>
        </is>
      </c>
      <c r="F18" s="2" t="inlineStr">
        <is>
          <t>student095@example-interns.edu</t>
        </is>
      </c>
      <c r="G18" s="2" t="inlineStr">
        <is>
          <t>2026-10-26</t>
        </is>
      </c>
      <c r="H18" s="2" t="inlineStr">
        <is>
          <t>2026-11-05</t>
        </is>
      </c>
      <c r="I18" s="2" t="inlineStr">
        <is>
          <t>Medium</t>
        </is>
      </c>
      <c r="J18" s="2" t="inlineStr">
        <is>
          <t>1. Mobile application source code
2. Local SQLite database schema and ORM layer
3. Scheduled local notification service
4. APK / test bundle
5. Architecture and state management breakdown</t>
        </is>
      </c>
      <c r="K18" s="2" t="inlineStr">
        <is>
          <t>https://classroom.google.com/c/submissions/stu-095_task-mobl-501</t>
        </is>
      </c>
      <c r="L18" s="2" t="inlineStr">
        <is>
          <t>Assigned</t>
        </is>
      </c>
      <c r="M18" s="2" t="inlineStr">
        <is>
          <t>Failed</t>
        </is>
      </c>
    </row>
    <row r="19">
      <c r="A19" s="3" t="inlineStr">
        <is>
          <t>TASK-DEVO-402</t>
        </is>
      </c>
      <c r="B19" s="3" t="inlineStr">
        <is>
          <t>Kubernetes Microservices Observability with Prometheus &amp; Grafana</t>
        </is>
      </c>
      <c r="C19" s="3" t="inlineStr">
        <is>
          <t>Deploy a 3-tier microservice onto Kubernetes (Minikube / k3s). Implement metric scraping with Prometheus, custom application dashboards in Grafana, and Slack/email Alertmanager rules for pod crash and latency spikes.</t>
        </is>
      </c>
      <c r="D19" s="3" t="inlineStr">
        <is>
          <t>STU-100</t>
        </is>
      </c>
      <c r="E19" s="3" t="inlineStr">
        <is>
          <t>Valeria Williams</t>
        </is>
      </c>
      <c r="F19" s="3" t="inlineStr">
        <is>
          <t>student100@example-interns.edu</t>
        </is>
      </c>
      <c r="G19" s="3" t="inlineStr">
        <is>
          <t>2026-09-03</t>
        </is>
      </c>
      <c r="H19" s="3" t="inlineStr">
        <is>
          <t>2026-09-14</t>
        </is>
      </c>
      <c r="I19" s="3" t="inlineStr">
        <is>
          <t>High</t>
        </is>
      </c>
      <c r="J19" s="3" t="inlineStr">
        <is>
          <t>1. Kubernetes deployment and service manifests
2. Prometheus ServiceMonitor &amp; scrape configs
3. Exported Grafana dashboard JSON
4. Alertmanager rules YAML
5. Chaos testing documentation and proof of alerts</t>
        </is>
      </c>
      <c r="K19" s="3" t="inlineStr">
        <is>
          <t>https://classroom.google.com/c/submissions/stu-100_task-devo-402</t>
        </is>
      </c>
      <c r="L19" s="3" t="inlineStr">
        <is>
          <t>Assigned</t>
        </is>
      </c>
      <c r="M19" s="3" t="inlineStr">
        <is>
          <t>Pending</t>
        </is>
      </c>
    </row>
    <row r="20">
      <c r="A20" s="2" t="inlineStr">
        <is>
          <t>TASK-DATA-301</t>
        </is>
      </c>
      <c r="B20" s="2" t="inlineStr">
        <is>
          <t>Automated Multi-Source Retail Sales ETL &amp; KPI Dashboard</t>
        </is>
      </c>
      <c r="C20" s="2" t="inlineStr">
        <is>
          <t>Extract raw CSV and JSON transaction logs, clean nulls/outliers in Pandas, load into a star-schema database, and construct an interactive dashboard featuring MoM growth, cohort retention, and customer lifetime value.</t>
        </is>
      </c>
      <c r="D20" s="2" t="inlineStr">
        <is>
          <t>STU-099</t>
        </is>
      </c>
      <c r="E20" s="2" t="inlineStr">
        <is>
          <t>Tom Sharma</t>
        </is>
      </c>
      <c r="F20" s="2" t="inlineStr">
        <is>
          <t>student099@example-interns.edu</t>
        </is>
      </c>
      <c r="G20" s="2" t="inlineStr">
        <is>
          <t>2026-09-12</t>
        </is>
      </c>
      <c r="H20" s="2" t="inlineStr">
        <is>
          <t>2026-09-20</t>
        </is>
      </c>
      <c r="I20" s="2" t="inlineStr">
        <is>
          <t>Medium</t>
        </is>
      </c>
      <c r="J20" s="2" t="inlineStr">
        <is>
          <t>1. Automated ETL python script with logging
2. Cleaned dimensional data warehouse tables
3. Interactive dashboard (Streamlit / Dash)
4. Business insight briefing report (PDF/Markdown)
5. Data dictionary &amp; pipeline diagram</t>
        </is>
      </c>
      <c r="K20" s="2" t="inlineStr">
        <is>
          <t>https://classroom.google.com/c/submissions/stu-099_task-data-301</t>
        </is>
      </c>
      <c r="L20" s="2" t="inlineStr">
        <is>
          <t>Assigned</t>
        </is>
      </c>
      <c r="M20" s="2" t="inlineStr">
        <is>
          <t>Pending</t>
        </is>
      </c>
    </row>
    <row r="21">
      <c r="A21" s="3" t="inlineStr">
        <is>
          <t>TASK-FSWD-202</t>
        </is>
      </c>
      <c r="B21" s="3" t="inlineStr">
        <is>
          <t>Real-Time Collaboration Kanban Board with WebSockets</t>
        </is>
      </c>
      <c r="C21" s="3" t="inlineStr">
        <is>
          <t>Develop a multi-tenant Kanban board application where updates to columns, cards, and drag-and-drop actions are synchronized in real-time across connected browser clients using WebSockets.</t>
        </is>
      </c>
      <c r="D21" s="3" t="inlineStr">
        <is>
          <t>STU-098</t>
        </is>
      </c>
      <c r="E21" s="3" t="inlineStr">
        <is>
          <t>Sara Campbell</t>
        </is>
      </c>
      <c r="F21" s="3" t="inlineStr">
        <is>
          <t>student098@example-interns.edu</t>
        </is>
      </c>
      <c r="G21" s="3" t="inlineStr">
        <is>
          <t>2026-09-11</t>
        </is>
      </c>
      <c r="H21" s="3" t="inlineStr">
        <is>
          <t>2026-09-21</t>
        </is>
      </c>
      <c r="I21" s="3" t="inlineStr">
        <is>
          <t>Medium</t>
        </is>
      </c>
      <c r="J21" s="3" t="inlineStr">
        <is>
          <t>1. Frontend single page app with drag-and-drop
2. WebSocket server with room management
3. Optimistic UI updates with rollback
4. Responsive CSS layout
5. System architecture document</t>
        </is>
      </c>
      <c r="K21" s="3" t="inlineStr">
        <is>
          <t>https://classroom.google.com/c/submissions/stu-098_task-fswd-202</t>
        </is>
      </c>
      <c r="L21" s="3" t="inlineStr">
        <is>
          <t>Assigned</t>
        </is>
      </c>
      <c r="M21" s="3" t="inlineStr">
        <is>
          <t>Pending</t>
        </is>
      </c>
    </row>
    <row r="22">
      <c r="A22" s="2" t="inlineStr">
        <is>
          <t>TASK-AIML-101</t>
        </is>
      </c>
      <c r="B22" s="2" t="inlineStr">
        <is>
          <t>Customer Churn Prediction Pipeline with Scikit-Learn &amp; FastAPI</t>
        </is>
      </c>
      <c r="C22" s="2" t="inlineStr">
        <is>
          <t>Build an end-to-end churn prediction model on telecom customer data. Preprocess tabular data, train Random Forest / XGBoost, evaluate ROC-AUC, and expose inference via a FastAPI REST endpoint with Dockerfile.</t>
        </is>
      </c>
      <c r="D22" s="2" t="inlineStr">
        <is>
          <t>STU-097</t>
        </is>
      </c>
      <c r="E22" s="2" t="inlineStr">
        <is>
          <t>Rahul Baker</t>
        </is>
      </c>
      <c r="F22" s="2" t="inlineStr">
        <is>
          <t>student097@example-interns.edu</t>
        </is>
      </c>
      <c r="G22" s="2" t="inlineStr">
        <is>
          <t>2026-09-10</t>
        </is>
      </c>
      <c r="H22" s="2" t="inlineStr">
        <is>
          <t>2026-09-20</t>
        </is>
      </c>
      <c r="I22" s="2" t="inlineStr">
        <is>
          <t>High</t>
        </is>
      </c>
      <c r="J22" s="2" t="inlineStr">
        <is>
          <t>1. Python model training script (train.py)
2. Serialized model artifact (.joblib)
3. FastAPI application (app.py) with /predict
4. Dockerfile &amp; requirements.txt
5. Model card &amp; validation report PDF</t>
        </is>
      </c>
      <c r="K22" s="2" t="inlineStr">
        <is>
          <t>https://classroom.google.com/c/submissions/stu-097_task-aiml-101</t>
        </is>
      </c>
      <c r="L22" s="2" t="inlineStr">
        <is>
          <t>Assigned</t>
        </is>
      </c>
      <c r="M22" s="2" t="inlineStr">
        <is>
          <t>Pending</t>
        </is>
      </c>
    </row>
    <row r="23">
      <c r="A23" s="3" t="inlineStr">
        <is>
          <t>TASK-CYBR-602</t>
        </is>
      </c>
      <c r="B23" s="3" t="inlineStr">
        <is>
          <t>SOC Intrusion Detection &amp; SIEM Log Correlation Engine</t>
        </is>
      </c>
      <c r="C23" s="3" t="inlineStr">
        <is>
          <t>Construct an automated log correlation parser that ingests syslog and web access logs, detects brute-force authentication attacks and lateral movement patterns, and generates automated incident response tickets.</t>
        </is>
      </c>
      <c r="D23" s="3" t="inlineStr">
        <is>
          <t>STU-096</t>
        </is>
      </c>
      <c r="E23" s="3" t="inlineStr">
        <is>
          <t>Pooja Green</t>
        </is>
      </c>
      <c r="F23" s="3" t="inlineStr">
        <is>
          <t>student096@example-interns.edu</t>
        </is>
      </c>
      <c r="G23" s="3" t="inlineStr">
        <is>
          <t>2026-09-09</t>
        </is>
      </c>
      <c r="H23" s="3" t="inlineStr">
        <is>
          <t>2026-09-19</t>
        </is>
      </c>
      <c r="I23" s="3" t="inlineStr">
        <is>
          <t>High</t>
        </is>
      </c>
      <c r="J23" s="3" t="inlineStr">
        <is>
          <t>1. Log ingestion and parsing engine (regex/JSON)
2. Sigma-compatible detection rules
3. Alert correlation and threshold detector
4. Incident response triage playbook
5. Synthetic log test generator</t>
        </is>
      </c>
      <c r="K23" s="3" t="inlineStr">
        <is>
          <t>https://classroom.google.com/c/submissions/stu-096_task-cybr-602</t>
        </is>
      </c>
      <c r="L23" s="3" t="inlineStr">
        <is>
          <t>Assigned</t>
        </is>
      </c>
      <c r="M23" s="3" t="inlineStr">
        <is>
          <t>Pending</t>
        </is>
      </c>
    </row>
    <row r="24">
      <c r="A24" s="2" t="inlineStr">
        <is>
          <t>TASK-MOBL-501</t>
        </is>
      </c>
      <c r="B24" s="2" t="inlineStr">
        <is>
          <t>Cross-Platform Habit Tracker with Offline SQLite &amp; Push Alerts</t>
        </is>
      </c>
      <c r="C24" s="2" t="inlineStr">
        <is>
          <t>Build a cross-platform mobile application (React Native or Flutter) that allows users to track daily habits, streaks, and completion analytics. Implement local SQLite persistence with background push notification reminders.</t>
        </is>
      </c>
      <c r="D24" s="2" t="inlineStr">
        <is>
          <t>STU-095</t>
        </is>
      </c>
      <c r="E24" s="2" t="inlineStr">
        <is>
          <t>Oscar Nguyen</t>
        </is>
      </c>
      <c r="F24" s="2" t="inlineStr">
        <is>
          <t>student095@example-interns.edu</t>
        </is>
      </c>
      <c r="G24" s="2" t="inlineStr">
        <is>
          <t>2026-09-08</t>
        </is>
      </c>
      <c r="H24" s="2" t="inlineStr">
        <is>
          <t>2026-09-18</t>
        </is>
      </c>
      <c r="I24" s="2" t="inlineStr">
        <is>
          <t>Medium</t>
        </is>
      </c>
      <c r="J24" s="2" t="inlineStr">
        <is>
          <t>1. Mobile application source code
2. Local SQLite database schema and ORM layer
3. Scheduled local notification service
4. APK / test bundle
5. Architecture and state management breakdown</t>
        </is>
      </c>
      <c r="K24" s="2" t="inlineStr">
        <is>
          <t>https://classroom.google.com/c/submissions/stu-095_task-mobl-501</t>
        </is>
      </c>
      <c r="L24" s="2" t="inlineStr">
        <is>
          <t>Assigned</t>
        </is>
      </c>
      <c r="M24" s="2" t="inlineStr">
        <is>
          <t>Failed</t>
        </is>
      </c>
    </row>
    <row r="25">
      <c r="A25" s="3" t="inlineStr">
        <is>
          <t>TASK-DEVO-402</t>
        </is>
      </c>
      <c r="B25" s="3" t="inlineStr">
        <is>
          <t>Kubernetes Microservices Observability with Prometheus &amp; Grafana</t>
        </is>
      </c>
      <c r="C25" s="3" t="inlineStr">
        <is>
          <t>Deploy a 3-tier microservice onto Kubernetes (Minikube / k3s). Implement metric scraping with Prometheus, custom application dashboards in Grafana, and Slack/email Alertmanager rules for pod crash and latency spikes.</t>
        </is>
      </c>
      <c r="D25" s="3" t="inlineStr">
        <is>
          <t>STU-094</t>
        </is>
      </c>
      <c r="E25" s="3" t="inlineStr">
        <is>
          <t>Nathan Wright</t>
        </is>
      </c>
      <c r="F25" s="3" t="inlineStr">
        <is>
          <t>student094@example-interns.edu</t>
        </is>
      </c>
      <c r="G25" s="3" t="inlineStr">
        <is>
          <t>2026-09-07</t>
        </is>
      </c>
      <c r="H25" s="3" t="inlineStr">
        <is>
          <t>2026-09-18</t>
        </is>
      </c>
      <c r="I25" s="3" t="inlineStr">
        <is>
          <t>High</t>
        </is>
      </c>
      <c r="J25" s="3" t="inlineStr">
        <is>
          <t>1. Kubernetes deployment and service manifests
2. Prometheus ServiceMonitor &amp; scrape configs
3. Exported Grafana dashboard JSON
4. Alertmanager rules YAML
5. Chaos testing documentation and proof of alerts</t>
        </is>
      </c>
      <c r="K25" s="3" t="inlineStr">
        <is>
          <t>https://classroom.google.com/c/submissions/stu-094_task-devo-402</t>
        </is>
      </c>
      <c r="L25" s="3" t="inlineStr">
        <is>
          <t>Assigned</t>
        </is>
      </c>
      <c r="M25" s="3" t="inlineStr">
        <is>
          <t>Pending</t>
        </is>
      </c>
    </row>
    <row r="26">
      <c r="A26" s="2" t="inlineStr">
        <is>
          <t>TASK-DATA-301</t>
        </is>
      </c>
      <c r="B26" s="2" t="inlineStr">
        <is>
          <t>Automated Multi-Source Retail Sales ETL &amp; KPI Dashboard</t>
        </is>
      </c>
      <c r="C26" s="2" t="inlineStr">
        <is>
          <t>Extract raw CSV and JSON transaction logs, clean nulls/outliers in Pandas, load into a star-schema database, and construct an interactive dashboard featuring MoM growth, cohort retention, and customer lifetime value.</t>
        </is>
      </c>
      <c r="D26" s="2" t="inlineStr">
        <is>
          <t>STU-093</t>
        </is>
      </c>
      <c r="E26" s="2" t="inlineStr">
        <is>
          <t>Mei Young</t>
        </is>
      </c>
      <c r="F26" s="2" t="inlineStr">
        <is>
          <t>student093@example-interns.edu</t>
        </is>
      </c>
      <c r="G26" s="2" t="inlineStr">
        <is>
          <t>2026-09-06</t>
        </is>
      </c>
      <c r="H26" s="2" t="inlineStr">
        <is>
          <t>2026-09-14</t>
        </is>
      </c>
      <c r="I26" s="2" t="inlineStr">
        <is>
          <t>Medium</t>
        </is>
      </c>
      <c r="J26" s="2" t="inlineStr">
        <is>
          <t>1. Automated ETL python script with logging
2. Cleaned dimensional data warehouse tables
3. Interactive dashboard (Streamlit / Dash)
4. Business insight briefing report (PDF/Markdown)
5. Data dictionary &amp; pipeline diagram</t>
        </is>
      </c>
      <c r="K26" s="2" t="inlineStr">
        <is>
          <t>https://classroom.google.com/c/submissions/stu-093_task-data-301</t>
        </is>
      </c>
      <c r="L26" s="2" t="inlineStr">
        <is>
          <t>Assigned</t>
        </is>
      </c>
      <c r="M26" s="2" t="inlineStr">
        <is>
          <t>Pending</t>
        </is>
      </c>
    </row>
    <row r="27">
      <c r="A27" s="3" t="inlineStr">
        <is>
          <t>TASK-FSWD-202</t>
        </is>
      </c>
      <c r="B27" s="3" t="inlineStr">
        <is>
          <t>Real-Time Collaboration Kanban Board with WebSockets</t>
        </is>
      </c>
      <c r="C27" s="3" t="inlineStr">
        <is>
          <t>Develop a multi-tenant Kanban board application where updates to columns, cards, and drag-and-drop actions are synchronized in real-time across connected browser clients using WebSockets.</t>
        </is>
      </c>
      <c r="D27" s="3" t="inlineStr">
        <is>
          <t>STU-092</t>
        </is>
      </c>
      <c r="E27" s="3" t="inlineStr">
        <is>
          <t>Lucas Lewis</t>
        </is>
      </c>
      <c r="F27" s="3" t="inlineStr">
        <is>
          <t>student092@example-interns.edu</t>
        </is>
      </c>
      <c r="G27" s="3" t="inlineStr">
        <is>
          <t>2026-09-05</t>
        </is>
      </c>
      <c r="H27" s="3" t="inlineStr">
        <is>
          <t>2026-09-15</t>
        </is>
      </c>
      <c r="I27" s="3" t="inlineStr">
        <is>
          <t>Medium</t>
        </is>
      </c>
      <c r="J27" s="3" t="inlineStr">
        <is>
          <t>1. Frontend single page app with drag-and-drop
2. WebSocket server with room management
3. Optimistic UI updates with rollback
4. Responsive CSS layout
5. System architecture document</t>
        </is>
      </c>
      <c r="K27" s="3" t="inlineStr">
        <is>
          <t>https://classroom.google.com/c/submissions/stu-092_task-fswd-202</t>
        </is>
      </c>
      <c r="L27" s="3" t="inlineStr">
        <is>
          <t>Assigned</t>
        </is>
      </c>
      <c r="M27" s="3" t="inlineStr">
        <is>
          <t>Pending</t>
        </is>
      </c>
    </row>
    <row r="28">
      <c r="A28" s="2" t="inlineStr">
        <is>
          <t>TASK-AIML-101</t>
        </is>
      </c>
      <c r="B28" s="2" t="inlineStr">
        <is>
          <t>Customer Churn Prediction Pipeline with Scikit-Learn &amp; FastAPI</t>
        </is>
      </c>
      <c r="C28" s="2" t="inlineStr">
        <is>
          <t>Build an end-to-end churn prediction model on telecom customer data. Preprocess tabular data, train Random Forest / XGBoost, evaluate ROC-AUC, and expose inference via a FastAPI REST endpoint with Dockerfile.</t>
        </is>
      </c>
      <c r="D28" s="2" t="inlineStr">
        <is>
          <t>STU-091</t>
        </is>
      </c>
      <c r="E28" s="2" t="inlineStr">
        <is>
          <t>Kiran Sanchez</t>
        </is>
      </c>
      <c r="F28" s="2" t="inlineStr">
        <is>
          <t>student091@example-interns.edu</t>
        </is>
      </c>
      <c r="G28" s="2" t="inlineStr">
        <is>
          <t>2026-09-04</t>
        </is>
      </c>
      <c r="H28" s="2" t="inlineStr">
        <is>
          <t>2026-09-14</t>
        </is>
      </c>
      <c r="I28" s="2" t="inlineStr">
        <is>
          <t>High</t>
        </is>
      </c>
      <c r="J28" s="2" t="inlineStr">
        <is>
          <t>1. Python model training script (train.py)
2. Serialized model artifact (.joblib)
3. FastAPI application (app.py) with /predict
4. Dockerfile &amp; requirements.txt
5. Model card &amp; validation report PDF</t>
        </is>
      </c>
      <c r="K28" s="2" t="inlineStr">
        <is>
          <t>https://classroom.google.com/c/submissions/stu-091_task-aiml-101</t>
        </is>
      </c>
      <c r="L28" s="2" t="inlineStr">
        <is>
          <t>Assigned</t>
        </is>
      </c>
      <c r="M28" s="2" t="inlineStr">
        <is>
          <t>Pending</t>
        </is>
      </c>
    </row>
    <row r="29">
      <c r="A29" s="3" t="inlineStr">
        <is>
          <t>TASK-CYBR-602</t>
        </is>
      </c>
      <c r="B29" s="3" t="inlineStr">
        <is>
          <t>SOC Intrusion Detection &amp; SIEM Log Correlation Engine</t>
        </is>
      </c>
      <c r="C29" s="3" t="inlineStr">
        <is>
          <t>Construct an automated log correlation parser that ingests syslog and web access logs, detects brute-force authentication attacks and lateral movement patterns, and generates automated incident response tickets.</t>
        </is>
      </c>
      <c r="D29" s="3" t="inlineStr">
        <is>
          <t>STU-090</t>
        </is>
      </c>
      <c r="E29" s="3" t="inlineStr">
        <is>
          <t>Jack Thompson</t>
        </is>
      </c>
      <c r="F29" s="3" t="inlineStr">
        <is>
          <t>student090@example-interns.edu</t>
        </is>
      </c>
      <c r="G29" s="3" t="inlineStr">
        <is>
          <t>2026-09-03</t>
        </is>
      </c>
      <c r="H29" s="3" t="inlineStr">
        <is>
          <t>2026-09-13</t>
        </is>
      </c>
      <c r="I29" s="3" t="inlineStr">
        <is>
          <t>High</t>
        </is>
      </c>
      <c r="J29" s="3" t="inlineStr">
        <is>
          <t>1. Log ingestion and parsing engine (regex/JSON)
2. Sigma-compatible detection rules
3. Alert correlation and threshold detector
4. Incident response triage playbook
5. Synthetic log test generator</t>
        </is>
      </c>
      <c r="K29" s="3" t="inlineStr">
        <is>
          <t>https://classroom.google.com/c/submissions/stu-090_task-cybr-602</t>
        </is>
      </c>
      <c r="L29" s="3" t="inlineStr">
        <is>
          <t>Assigned</t>
        </is>
      </c>
      <c r="M29" s="3" t="inlineStr">
        <is>
          <t>Pending</t>
        </is>
      </c>
    </row>
    <row r="30">
      <c r="A30" s="2" t="inlineStr">
        <is>
          <t>TASK-MOBL-501</t>
        </is>
      </c>
      <c r="B30" s="2" t="inlineStr">
        <is>
          <t>Cross-Platform Habit Tracker with Offline SQLite &amp; Push Alerts</t>
        </is>
      </c>
      <c r="C30" s="2" t="inlineStr">
        <is>
          <t>Build a cross-platform mobile application (React Native or Flutter) that allows users to track daily habits, streaks, and completion analytics. Implement local SQLite persistence with background push notification reminders.</t>
        </is>
      </c>
      <c r="D30" s="2" t="inlineStr">
        <is>
          <t>STU-089</t>
        </is>
      </c>
      <c r="E30" s="2" t="inlineStr">
        <is>
          <t>Ines Martin</t>
        </is>
      </c>
      <c r="F30" s="2" t="inlineStr">
        <is>
          <t>student089@example-interns.edu</t>
        </is>
      </c>
      <c r="G30" s="2" t="inlineStr">
        <is>
          <t>2026-09-12</t>
        </is>
      </c>
      <c r="H30" s="2" t="inlineStr">
        <is>
          <t>2026-09-22</t>
        </is>
      </c>
      <c r="I30" s="2" t="inlineStr">
        <is>
          <t>Medium</t>
        </is>
      </c>
      <c r="J30" s="2" t="inlineStr">
        <is>
          <t>1. Mobile application source code
2. Local SQLite database schema and ORM layer
3. Scheduled local notification service
4. APK / test bundle
5. Architecture and state management breakdown</t>
        </is>
      </c>
      <c r="K30" s="2" t="inlineStr">
        <is>
          <t>https://classroom.google.com/c/submissions/stu-089_task-mobl-501</t>
        </is>
      </c>
      <c r="L30" s="2" t="inlineStr">
        <is>
          <t>Assigned</t>
        </is>
      </c>
      <c r="M30" s="2" t="inlineStr">
        <is>
          <t>Pending</t>
        </is>
      </c>
    </row>
    <row r="31">
      <c r="A31" s="3" t="inlineStr">
        <is>
          <t>TASK-DEVO-402</t>
        </is>
      </c>
      <c r="B31" s="3" t="inlineStr">
        <is>
          <t>Kubernetes Microservices Observability with Prometheus &amp; Grafana</t>
        </is>
      </c>
      <c r="C31" s="3" t="inlineStr">
        <is>
          <t>Deploy a 3-tier microservice onto Kubernetes (Minikube / k3s). Implement metric scraping with Prometheus, custom application dashboards in Grafana, and Slack/email Alertmanager rules for pod crash and latency spikes.</t>
        </is>
      </c>
      <c r="D31" s="3" t="inlineStr">
        <is>
          <t>STU-088</t>
        </is>
      </c>
      <c r="E31" s="3" t="inlineStr">
        <is>
          <t>Henry Taylor</t>
        </is>
      </c>
      <c r="F31" s="3" t="inlineStr">
        <is>
          <t>student088@example-interns.edu</t>
        </is>
      </c>
      <c r="G31" s="3" t="inlineStr">
        <is>
          <t>2026-09-11</t>
        </is>
      </c>
      <c r="H31" s="3" t="inlineStr">
        <is>
          <t>2026-09-22</t>
        </is>
      </c>
      <c r="I31" s="3" t="inlineStr">
        <is>
          <t>High</t>
        </is>
      </c>
      <c r="J31" s="3" t="inlineStr">
        <is>
          <t>1. Kubernetes deployment and service manifests
2. Prometheus ServiceMonitor &amp; scrape configs
3. Exported Grafana dashboard JSON
4. Alertmanager rules YAML
5. Chaos testing documentation and proof of alerts</t>
        </is>
      </c>
      <c r="K31" s="3" t="inlineStr">
        <is>
          <t>https://classroom.google.com/c/submissions/stu-088_task-devo-402</t>
        </is>
      </c>
      <c r="L31" s="3" t="inlineStr">
        <is>
          <t>Overdue</t>
        </is>
      </c>
      <c r="M31" s="3" t="inlineStr">
        <is>
          <t>Sent</t>
        </is>
      </c>
    </row>
    <row r="32">
      <c r="A32" s="2" t="inlineStr">
        <is>
          <t>TASK-DATA-301</t>
        </is>
      </c>
      <c r="B32" s="2" t="inlineStr">
        <is>
          <t>Automated Multi-Source Retail Sales ETL &amp; KPI Dashboard</t>
        </is>
      </c>
      <c r="C32" s="2" t="inlineStr">
        <is>
          <t>Extract raw CSV and JSON transaction logs, clean nulls/outliers in Pandas, load into a star-schema database, and construct an interactive dashboard featuring MoM growth, cohort retention, and customer lifetime value.</t>
        </is>
      </c>
      <c r="D32" s="2" t="inlineStr">
        <is>
          <t>STU-087</t>
        </is>
      </c>
      <c r="E32" s="2" t="inlineStr">
        <is>
          <t>Gita Wilson</t>
        </is>
      </c>
      <c r="F32" s="2" t="inlineStr">
        <is>
          <t>student087@example-interns.edu</t>
        </is>
      </c>
      <c r="G32" s="2" t="inlineStr">
        <is>
          <t>2026-09-10</t>
        </is>
      </c>
      <c r="H32" s="2" t="inlineStr">
        <is>
          <t>2026-09-18</t>
        </is>
      </c>
      <c r="I32" s="2" t="inlineStr">
        <is>
          <t>Medium</t>
        </is>
      </c>
      <c r="J32" s="2" t="inlineStr">
        <is>
          <t>1. Automated ETL python script with logging
2. Cleaned dimensional data warehouse tables
3. Interactive dashboard (Streamlit / Dash)
4. Business insight briefing report (PDF/Markdown)
5. Data dictionary &amp; pipeline diagram</t>
        </is>
      </c>
      <c r="K32" s="2" t="inlineStr">
        <is>
          <t>https://classroom.google.com/c/submissions/stu-087_task-data-301</t>
        </is>
      </c>
      <c r="L32" s="2" t="inlineStr">
        <is>
          <t>Overdue</t>
        </is>
      </c>
      <c r="M32" s="2" t="inlineStr">
        <is>
          <t>Sent</t>
        </is>
      </c>
    </row>
    <row r="33">
      <c r="A33" s="3" t="inlineStr">
        <is>
          <t>TASK-FSWD-202</t>
        </is>
      </c>
      <c r="B33" s="3" t="inlineStr">
        <is>
          <t>Real-Time Collaboration Kanban Board with WebSockets</t>
        </is>
      </c>
      <c r="C33" s="3" t="inlineStr">
        <is>
          <t>Develop a multi-tenant Kanban board application where updates to columns, cards, and drag-and-drop actions are synchronized in real-time across connected browser clients using WebSockets.</t>
        </is>
      </c>
      <c r="D33" s="3" t="inlineStr">
        <is>
          <t>STU-086</t>
        </is>
      </c>
      <c r="E33" s="3" t="inlineStr">
        <is>
          <t>Farhan Hernandez</t>
        </is>
      </c>
      <c r="F33" s="3" t="inlineStr">
        <is>
          <t>student086@example-interns.edu</t>
        </is>
      </c>
      <c r="G33" s="3" t="inlineStr">
        <is>
          <t>2026-09-09</t>
        </is>
      </c>
      <c r="H33" s="3" t="inlineStr">
        <is>
          <t>2026-09-19</t>
        </is>
      </c>
      <c r="I33" s="3" t="inlineStr">
        <is>
          <t>Medium</t>
        </is>
      </c>
      <c r="J33" s="3" t="inlineStr">
        <is>
          <t>1. Frontend single page app with drag-and-drop
2. WebSocket server with room management
3. Optimistic UI updates with rollback
4. Responsive CSS layout
5. System architecture document</t>
        </is>
      </c>
      <c r="K33" s="3" t="inlineStr">
        <is>
          <t>https://classroom.google.com/c/submissions/stu-086_task-fswd-202</t>
        </is>
      </c>
      <c r="L33" s="3" t="inlineStr">
        <is>
          <t>Overdue</t>
        </is>
      </c>
      <c r="M33" s="3" t="inlineStr">
        <is>
          <t>Sent</t>
        </is>
      </c>
    </row>
    <row r="34">
      <c r="A34" s="2" t="inlineStr">
        <is>
          <t>TASK-AIML-101</t>
        </is>
      </c>
      <c r="B34" s="2" t="inlineStr">
        <is>
          <t>Customer Churn Prediction Pipeline with Scikit-Learn &amp; FastAPI</t>
        </is>
      </c>
      <c r="C34" s="2" t="inlineStr">
        <is>
          <t>Build an end-to-end churn prediction model on telecom customer data. Preprocess tabular data, train Random Forest / XGBoost, evaluate ROC-AUC, and expose inference via a FastAPI REST endpoint with Dockerfile.</t>
        </is>
      </c>
      <c r="D34" s="2" t="inlineStr">
        <is>
          <t>STU-085</t>
        </is>
      </c>
      <c r="E34" s="2" t="inlineStr">
        <is>
          <t>Emma Davis</t>
        </is>
      </c>
      <c r="F34" s="2" t="inlineStr">
        <is>
          <t>student085@example-interns.edu</t>
        </is>
      </c>
      <c r="G34" s="2" t="inlineStr">
        <is>
          <t>2026-09-08</t>
        </is>
      </c>
      <c r="H34" s="2" t="inlineStr">
        <is>
          <t>2026-09-18</t>
        </is>
      </c>
      <c r="I34" s="2" t="inlineStr">
        <is>
          <t>High</t>
        </is>
      </c>
      <c r="J34" s="2" t="inlineStr">
        <is>
          <t>1. Python model training script (train.py)
2. Serialized model artifact (.joblib)
3. FastAPI application (app.py) with /predict
4. Dockerfile &amp; requirements.txt
5. Model card &amp; validation report PDF</t>
        </is>
      </c>
      <c r="K34" s="2" t="inlineStr">
        <is>
          <t>https://classroom.google.com/c/submissions/stu-085_task-aiml-101</t>
        </is>
      </c>
      <c r="L34" s="2" t="inlineStr">
        <is>
          <t>Overdue</t>
        </is>
      </c>
      <c r="M34" s="2" t="inlineStr">
        <is>
          <t>Sent</t>
        </is>
      </c>
    </row>
    <row r="35">
      <c r="A35" s="3" t="inlineStr">
        <is>
          <t>TASK-CYBR-602</t>
        </is>
      </c>
      <c r="B35" s="3" t="inlineStr">
        <is>
          <t>SOC Intrusion Detection &amp; SIEM Log Correlation Engine</t>
        </is>
      </c>
      <c r="C35" s="3" t="inlineStr">
        <is>
          <t>Construct an automated log correlation parser that ingests syslog and web access logs, detects brute-force authentication attacks and lateral movement patterns, and generates automated incident response tickets.</t>
        </is>
      </c>
      <c r="D35" s="3" t="inlineStr">
        <is>
          <t>STU-084</t>
        </is>
      </c>
      <c r="E35" s="3" t="inlineStr">
        <is>
          <t>Daniel Jones</t>
        </is>
      </c>
      <c r="F35" s="3" t="inlineStr">
        <is>
          <t>student084@example-interns.edu</t>
        </is>
      </c>
      <c r="G35" s="3" t="inlineStr">
        <is>
          <t>2026-09-07</t>
        </is>
      </c>
      <c r="H35" s="3" t="inlineStr">
        <is>
          <t>2026-09-17</t>
        </is>
      </c>
      <c r="I35" s="3" t="inlineStr">
        <is>
          <t>High</t>
        </is>
      </c>
      <c r="J35" s="3" t="inlineStr">
        <is>
          <t>1. Log ingestion and parsing engine (regex/JSON)
2. Sigma-compatible detection rules
3. Alert correlation and threshold detector
4. Incident response triage playbook
5. Synthetic log test generator</t>
        </is>
      </c>
      <c r="K35" s="3" t="inlineStr">
        <is>
          <t>https://classroom.google.com/c/submissions/stu-084_task-cybr-602</t>
        </is>
      </c>
      <c r="L35" s="3" t="inlineStr">
        <is>
          <t>Overdue</t>
        </is>
      </c>
      <c r="M35" s="3" t="inlineStr">
        <is>
          <t>Sent</t>
        </is>
      </c>
    </row>
    <row r="36">
      <c r="A36" s="2" t="inlineStr">
        <is>
          <t>TASK-MOBL-501</t>
        </is>
      </c>
      <c r="B36" s="2" t="inlineStr">
        <is>
          <t>Cross-Platform Habit Tracker with Offline SQLite &amp; Push Alerts</t>
        </is>
      </c>
      <c r="C36" s="2" t="inlineStr">
        <is>
          <t>Build a cross-platform mobile application (React Native or Flutter) that allows users to track daily habits, streaks, and completion analytics. Implement local SQLite persistence with background push notification reminders.</t>
        </is>
      </c>
      <c r="D36" s="2" t="inlineStr">
        <is>
          <t>STU-083</t>
        </is>
      </c>
      <c r="E36" s="2" t="inlineStr">
        <is>
          <t>Camila Johnson</t>
        </is>
      </c>
      <c r="F36" s="2" t="inlineStr">
        <is>
          <t>student083@example-interns.edu</t>
        </is>
      </c>
      <c r="G36" s="2" t="inlineStr">
        <is>
          <t>2026-09-06</t>
        </is>
      </c>
      <c r="H36" s="2" t="inlineStr">
        <is>
          <t>2026-09-16</t>
        </is>
      </c>
      <c r="I36" s="2" t="inlineStr">
        <is>
          <t>Medium</t>
        </is>
      </c>
      <c r="J36" s="2" t="inlineStr">
        <is>
          <t>1. Mobile application source code
2. Local SQLite database schema and ORM layer
3. Scheduled local notification service
4. APK / test bundle
5. Architecture and state management breakdown</t>
        </is>
      </c>
      <c r="K36" s="2" t="inlineStr">
        <is>
          <t>https://classroom.google.com/c/submissions/stu-083_task-mobl-501</t>
        </is>
      </c>
      <c r="L36" s="2" t="inlineStr">
        <is>
          <t>Overdue</t>
        </is>
      </c>
      <c r="M36" s="2" t="inlineStr">
        <is>
          <t>Sent</t>
        </is>
      </c>
    </row>
    <row r="37">
      <c r="A37" s="3" t="inlineStr">
        <is>
          <t>TASK-DEVO-402</t>
        </is>
      </c>
      <c r="B37" s="3" t="inlineStr">
        <is>
          <t>Kubernetes Microservices Observability with Prometheus &amp; Grafana</t>
        </is>
      </c>
      <c r="C37" s="3" t="inlineStr">
        <is>
          <t>Deploy a 3-tier microservice onto Kubernetes (Minikube / k3s). Implement metric scraping with Prometheus, custom application dashboards in Grafana, and Slack/email Alertmanager rules for pod crash and latency spikes.</t>
        </is>
      </c>
      <c r="D37" s="3" t="inlineStr">
        <is>
          <t>STU-082</t>
        </is>
      </c>
      <c r="E37" s="3" t="inlineStr">
        <is>
          <t>Brian Patel</t>
        </is>
      </c>
      <c r="F37" s="3" t="inlineStr">
        <is>
          <t>student082@example-interns.edu</t>
        </is>
      </c>
      <c r="G37" s="3" t="inlineStr">
        <is>
          <t>2026-09-05</t>
        </is>
      </c>
      <c r="H37" s="3" t="inlineStr">
        <is>
          <t>2026-09-16</t>
        </is>
      </c>
      <c r="I37" s="3" t="inlineStr">
        <is>
          <t>High</t>
        </is>
      </c>
      <c r="J37" s="3" t="inlineStr">
        <is>
          <t>1. Kubernetes deployment and service manifests
2. Prometheus ServiceMonitor &amp; scrape configs
3. Exported Grafana dashboard JSON
4. Alertmanager rules YAML
5. Chaos testing documentation and proof of alerts</t>
        </is>
      </c>
      <c r="K37" s="3" t="inlineStr">
        <is>
          <t>https://classroom.google.com/c/submissions/stu-082_task-devo-402</t>
        </is>
      </c>
      <c r="L37" s="3" t="inlineStr">
        <is>
          <t>Overdue</t>
        </is>
      </c>
      <c r="M37" s="3" t="inlineStr">
        <is>
          <t>Sent</t>
        </is>
      </c>
    </row>
    <row r="38">
      <c r="A38" s="2" t="inlineStr">
        <is>
          <t>TASK-DATA-301</t>
        </is>
      </c>
      <c r="B38" s="2" t="inlineStr">
        <is>
          <t>Automated Multi-Source Retail Sales ETL &amp; KPI Dashboard</t>
        </is>
      </c>
      <c r="C38" s="2" t="inlineStr">
        <is>
          <t>Extract raw CSV and JSON transaction logs, clean nulls/outliers in Pandas, load into a star-schema database, and construct an interactive dashboard featuring MoM growth, cohort retention, and customer lifetime value.</t>
        </is>
      </c>
      <c r="D38" s="2" t="inlineStr">
        <is>
          <t>STU-081</t>
        </is>
      </c>
      <c r="E38" s="2" t="inlineStr">
        <is>
          <t>Ananya Rivera</t>
        </is>
      </c>
      <c r="F38" s="2" t="inlineStr">
        <is>
          <t>student081@example-interns.edu</t>
        </is>
      </c>
      <c r="G38" s="2" t="inlineStr">
        <is>
          <t>2026-09-04</t>
        </is>
      </c>
      <c r="H38" s="2" t="inlineStr">
        <is>
          <t>2026-09-12</t>
        </is>
      </c>
      <c r="I38" s="2" t="inlineStr">
        <is>
          <t>Medium</t>
        </is>
      </c>
      <c r="J38" s="2" t="inlineStr">
        <is>
          <t>1. Automated ETL python script with logging
2. Cleaned dimensional data warehouse tables
3. Interactive dashboard (Streamlit / Dash)
4. Business insight briefing report (PDF/Markdown)
5. Data dictionary &amp; pipeline diagram</t>
        </is>
      </c>
      <c r="K38" s="2" t="inlineStr">
        <is>
          <t>https://classroom.google.com/c/submissions/stu-081_task-data-301</t>
        </is>
      </c>
      <c r="L38" s="2" t="inlineStr">
        <is>
          <t>Overdue</t>
        </is>
      </c>
      <c r="M38" s="2" t="inlineStr">
        <is>
          <t>Sent</t>
        </is>
      </c>
    </row>
    <row r="39">
      <c r="A39" s="3" t="inlineStr">
        <is>
          <t>TASK-FSWD-202</t>
        </is>
      </c>
      <c r="B39" s="3" t="inlineStr">
        <is>
          <t>Real-Time Collaboration Kanban Board with WebSockets</t>
        </is>
      </c>
      <c r="C39" s="3" t="inlineStr">
        <is>
          <t>Develop a multi-tenant Kanban board application where updates to columns, cards, and drag-and-drop actions are synchronized in real-time across connected browser clients using WebSockets.</t>
        </is>
      </c>
      <c r="D39" s="3" t="inlineStr">
        <is>
          <t>STU-080</t>
        </is>
      </c>
      <c r="E39" s="3" t="inlineStr">
        <is>
          <t>Zara Nelson</t>
        </is>
      </c>
      <c r="F39" s="3" t="inlineStr">
        <is>
          <t>student080@example-interns.edu</t>
        </is>
      </c>
      <c r="G39" s="3" t="inlineStr">
        <is>
          <t>2026-09-03</t>
        </is>
      </c>
      <c r="H39" s="3" t="inlineStr">
        <is>
          <t>2026-09-13</t>
        </is>
      </c>
      <c r="I39" s="3" t="inlineStr">
        <is>
          <t>Medium</t>
        </is>
      </c>
      <c r="J39" s="3" t="inlineStr">
        <is>
          <t>1. Frontend single page app with drag-and-drop
2. WebSocket server with room management
3. Optimistic UI updates with rollback
4. Responsive CSS layout
5. System architecture document</t>
        </is>
      </c>
      <c r="K39" s="3" t="inlineStr">
        <is>
          <t>https://classroom.google.com/c/submissions/stu-080_task-fswd-202</t>
        </is>
      </c>
      <c r="L39" s="3" t="inlineStr">
        <is>
          <t>Overdue</t>
        </is>
      </c>
      <c r="M39" s="3" t="inlineStr">
        <is>
          <t>Sent</t>
        </is>
      </c>
    </row>
    <row r="40">
      <c r="A40" s="2" t="inlineStr">
        <is>
          <t>TASK-AIML-101</t>
        </is>
      </c>
      <c r="B40" s="2" t="inlineStr">
        <is>
          <t>Customer Churn Prediction Pipeline with Scikit-Learn &amp; FastAPI</t>
        </is>
      </c>
      <c r="C40" s="2" t="inlineStr">
        <is>
          <t>Build an end-to-end churn prediction model on telecom customer data. Preprocess tabular data, train Random Forest / XGBoost, evaluate ROC-AUC, and expose inference via a FastAPI REST endpoint with Dockerfile.</t>
        </is>
      </c>
      <c r="D40" s="2" t="inlineStr">
        <is>
          <t>STU-079</t>
        </is>
      </c>
      <c r="E40" s="2" t="inlineStr">
        <is>
          <t>Wei Flores</t>
        </is>
      </c>
      <c r="F40" s="2" t="inlineStr">
        <is>
          <t>student079@example-interns.edu</t>
        </is>
      </c>
      <c r="G40" s="2" t="inlineStr">
        <is>
          <t>2026-09-12</t>
        </is>
      </c>
      <c r="H40" s="2" t="inlineStr">
        <is>
          <t>2026-09-22</t>
        </is>
      </c>
      <c r="I40" s="2" t="inlineStr">
        <is>
          <t>High</t>
        </is>
      </c>
      <c r="J40" s="2" t="inlineStr">
        <is>
          <t>1. Python model training script (train.py)
2. Serialized model artifact (.joblib)
3. FastAPI application (app.py) with /predict
4. Dockerfile &amp; requirements.txt
5. Model card &amp; validation report PDF</t>
        </is>
      </c>
      <c r="K40" s="2" t="inlineStr">
        <is>
          <t>https://classroom.google.com/c/submissions/stu-079_task-aiml-101</t>
        </is>
      </c>
      <c r="L40" s="2" t="inlineStr">
        <is>
          <t>Overdue</t>
        </is>
      </c>
      <c r="M40" s="2" t="inlineStr">
        <is>
          <t>Sent</t>
        </is>
      </c>
    </row>
    <row r="41">
      <c r="A41" s="3" t="inlineStr">
        <is>
          <t>TASK-CYBR-602</t>
        </is>
      </c>
      <c r="B41" s="3" t="inlineStr">
        <is>
          <t>SOC Intrusion Detection &amp; SIEM Log Correlation Engine</t>
        </is>
      </c>
      <c r="C41" s="3" t="inlineStr">
        <is>
          <t>Construct an automated log correlation parser that ingests syslog and web access logs, detects brute-force authentication attacks and lateral movement patterns, and generates automated incident response tickets.</t>
        </is>
      </c>
      <c r="D41" s="3" t="inlineStr">
        <is>
          <t>STU-078</t>
        </is>
      </c>
      <c r="E41" s="3" t="inlineStr">
        <is>
          <t>Victor Torres</t>
        </is>
      </c>
      <c r="F41" s="3" t="inlineStr">
        <is>
          <t>student078@example-interns.edu</t>
        </is>
      </c>
      <c r="G41" s="3" t="inlineStr">
        <is>
          <t>2026-09-11</t>
        </is>
      </c>
      <c r="H41" s="3" t="inlineStr">
        <is>
          <t>2026-09-21</t>
        </is>
      </c>
      <c r="I41" s="3" t="inlineStr">
        <is>
          <t>High</t>
        </is>
      </c>
      <c r="J41" s="3" t="inlineStr">
        <is>
          <t>1. Log ingestion and parsing engine (regex/JSON)
2. Sigma-compatible detection rules
3. Alert correlation and threshold detector
4. Incident response triage playbook
5. Synthetic log test generator</t>
        </is>
      </c>
      <c r="K41" s="3" t="inlineStr">
        <is>
          <t>https://classroom.google.com/c/submissions/stu-078_task-cybr-602</t>
        </is>
      </c>
      <c r="L41" s="3" t="inlineStr">
        <is>
          <t>Overdue</t>
        </is>
      </c>
      <c r="M41" s="3" t="inlineStr">
        <is>
          <t>Sent</t>
        </is>
      </c>
    </row>
    <row r="42">
      <c r="A42" s="2" t="inlineStr">
        <is>
          <t>TASK-MOBL-501</t>
        </is>
      </c>
      <c r="B42" s="2" t="inlineStr">
        <is>
          <t>Cross-Platform Habit Tracker with Offline SQLite &amp; Push Alerts</t>
        </is>
      </c>
      <c r="C42" s="2" t="inlineStr">
        <is>
          <t>Build a cross-platform mobile application (React Native or Flutter) that allows users to track daily habits, streaks, and completion analytics. Implement local SQLite persistence with background push notification reminders.</t>
        </is>
      </c>
      <c r="D42" s="2" t="inlineStr">
        <is>
          <t>STU-077</t>
        </is>
      </c>
      <c r="E42" s="2" t="inlineStr">
        <is>
          <t>Uma King</t>
        </is>
      </c>
      <c r="F42" s="2" t="inlineStr">
        <is>
          <t>student077@example-interns.edu</t>
        </is>
      </c>
      <c r="G42" s="2" t="inlineStr">
        <is>
          <t>2026-09-10</t>
        </is>
      </c>
      <c r="H42" s="2" t="inlineStr">
        <is>
          <t>2026-09-20</t>
        </is>
      </c>
      <c r="I42" s="2" t="inlineStr">
        <is>
          <t>Medium</t>
        </is>
      </c>
      <c r="J42" s="2" t="inlineStr">
        <is>
          <t>1. Mobile application source code
2. Local SQLite database schema and ORM layer
3. Scheduled local notification service
4. APK / test bundle
5. Architecture and state management breakdown</t>
        </is>
      </c>
      <c r="K42" s="2" t="inlineStr">
        <is>
          <t>https://classroom.google.com/c/submissions/stu-077_task-mobl-501</t>
        </is>
      </c>
      <c r="L42" s="2" t="inlineStr">
        <is>
          <t>Overdue</t>
        </is>
      </c>
      <c r="M42" s="2" t="inlineStr">
        <is>
          <t>Sent</t>
        </is>
      </c>
    </row>
    <row r="43">
      <c r="A43" s="3" t="inlineStr">
        <is>
          <t>TASK-DEVO-402</t>
        </is>
      </c>
      <c r="B43" s="3" t="inlineStr">
        <is>
          <t>Kubernetes Microservices Observability with Prometheus &amp; Grafana</t>
        </is>
      </c>
      <c r="C43" s="3" t="inlineStr">
        <is>
          <t>Deploy a 3-tier microservice onto Kubernetes (Minikube / k3s). Implement metric scraping with Prometheus, custom application dashboards in Grafana, and Slack/email Alertmanager rules for pod crash and latency spikes.</t>
        </is>
      </c>
      <c r="D43" s="3" t="inlineStr">
        <is>
          <t>STU-076</t>
        </is>
      </c>
      <c r="E43" s="3" t="inlineStr">
        <is>
          <t>Tariq Walker</t>
        </is>
      </c>
      <c r="F43" s="3" t="inlineStr">
        <is>
          <t>student076@example-interns.edu</t>
        </is>
      </c>
      <c r="G43" s="3" t="inlineStr">
        <is>
          <t>2026-09-09</t>
        </is>
      </c>
      <c r="H43" s="3" t="inlineStr">
        <is>
          <t>2026-09-20</t>
        </is>
      </c>
      <c r="I43" s="3" t="inlineStr">
        <is>
          <t>High</t>
        </is>
      </c>
      <c r="J43" s="3" t="inlineStr">
        <is>
          <t>1. Kubernetes deployment and service manifests
2. Prometheus ServiceMonitor &amp; scrape configs
3. Exported Grafana dashboard JSON
4. Alertmanager rules YAML
5. Chaos testing documentation and proof of alerts</t>
        </is>
      </c>
      <c r="K43" s="3" t="inlineStr">
        <is>
          <t>https://classroom.google.com/c/submissions/stu-076_task-devo-402</t>
        </is>
      </c>
      <c r="L43" s="3" t="inlineStr">
        <is>
          <t>Overdue</t>
        </is>
      </c>
      <c r="M43" s="3" t="inlineStr">
        <is>
          <t>Sent</t>
        </is>
      </c>
    </row>
    <row r="44">
      <c r="A44" s="2" t="inlineStr">
        <is>
          <t>TASK-DATA-301</t>
        </is>
      </c>
      <c r="B44" s="2" t="inlineStr">
        <is>
          <t>Automated Multi-Source Retail Sales ETL &amp; KPI Dashboard</t>
        </is>
      </c>
      <c r="C44" s="2" t="inlineStr">
        <is>
          <t>Extract raw CSV and JSON transaction logs, clean nulls/outliers in Pandas, load into a star-schema database, and construct an interactive dashboard featuring MoM growth, cohort retention, and customer lifetime value.</t>
        </is>
      </c>
      <c r="D44" s="2" t="inlineStr">
        <is>
          <t>STU-075</t>
        </is>
      </c>
      <c r="E44" s="2" t="inlineStr">
        <is>
          <t>Sophia Ramirez</t>
        </is>
      </c>
      <c r="F44" s="2" t="inlineStr">
        <is>
          <t>student075@example-interns.edu</t>
        </is>
      </c>
      <c r="G44" s="2" t="inlineStr">
        <is>
          <t>2026-09-08</t>
        </is>
      </c>
      <c r="H44" s="2" t="inlineStr">
        <is>
          <t>2026-09-16</t>
        </is>
      </c>
      <c r="I44" s="2" t="inlineStr">
        <is>
          <t>Medium</t>
        </is>
      </c>
      <c r="J44" s="2" t="inlineStr">
        <is>
          <t>1. Automated ETL python script with logging
2. Cleaned dimensional data warehouse tables
3. Interactive dashboard (Streamlit / Dash)
4. Business insight briefing report (PDF/Markdown)
5. Data dictionary &amp; pipeline diagram</t>
        </is>
      </c>
      <c r="K44" s="2" t="inlineStr">
        <is>
          <t>https://classroom.google.com/c/submissions/stu-075_task-data-301</t>
        </is>
      </c>
      <c r="L44" s="2" t="inlineStr">
        <is>
          <t>In Progress</t>
        </is>
      </c>
      <c r="M44" s="2" t="inlineStr">
        <is>
          <t>Sent</t>
        </is>
      </c>
    </row>
    <row r="45">
      <c r="A45" s="3" t="inlineStr">
        <is>
          <t>TASK-FSWD-202</t>
        </is>
      </c>
      <c r="B45" s="3" t="inlineStr">
        <is>
          <t>Real-Time Collaboration Kanban Board with WebSockets</t>
        </is>
      </c>
      <c r="C45" s="3" t="inlineStr">
        <is>
          <t>Develop a multi-tenant Kanban board application where updates to columns, cards, and drag-and-drop actions are synchronized in real-time across connected browser clients using WebSockets.</t>
        </is>
      </c>
      <c r="D45" s="3" t="inlineStr">
        <is>
          <t>STU-074</t>
        </is>
      </c>
      <c r="E45" s="3" t="inlineStr">
        <is>
          <t>Rohan Harris</t>
        </is>
      </c>
      <c r="F45" s="3" t="inlineStr">
        <is>
          <t>student074@example-interns.edu</t>
        </is>
      </c>
      <c r="G45" s="3" t="inlineStr">
        <is>
          <t>2026-09-07</t>
        </is>
      </c>
      <c r="H45" s="3" t="inlineStr">
        <is>
          <t>2026-09-17</t>
        </is>
      </c>
      <c r="I45" s="3" t="inlineStr">
        <is>
          <t>Medium</t>
        </is>
      </c>
      <c r="J45" s="3" t="inlineStr">
        <is>
          <t>1. Frontend single page app with drag-and-drop
2. WebSocket server with room management
3. Optimistic UI updates with rollback
4. Responsive CSS layout
5. System architecture document</t>
        </is>
      </c>
      <c r="K45" s="3" t="inlineStr">
        <is>
          <t>https://classroom.google.com/c/submissions/stu-074_task-fswd-202</t>
        </is>
      </c>
      <c r="L45" s="3" t="inlineStr">
        <is>
          <t>In Progress</t>
        </is>
      </c>
      <c r="M45" s="3" t="inlineStr">
        <is>
          <t>Sent</t>
        </is>
      </c>
    </row>
    <row r="46">
      <c r="A46" s="2" t="inlineStr">
        <is>
          <t>TASK-AIML-101</t>
        </is>
      </c>
      <c r="B46" s="2" t="inlineStr">
        <is>
          <t>Customer Churn Prediction Pipeline with Scikit-Learn &amp; FastAPI</t>
        </is>
      </c>
      <c r="C46" s="2" t="inlineStr">
        <is>
          <t>Build an end-to-end churn prediction model on telecom customer data. Preprocess tabular data, train Random Forest / XGBoost, evaluate ROC-AUC, and expose inference via a FastAPI REST endpoint with Dockerfile.</t>
        </is>
      </c>
      <c r="D46" s="2" t="inlineStr">
        <is>
          <t>STU-073</t>
        </is>
      </c>
      <c r="E46" s="2" t="inlineStr">
        <is>
          <t>Quentin Perez</t>
        </is>
      </c>
      <c r="F46" s="2" t="inlineStr">
        <is>
          <t>student073@example-interns.edu</t>
        </is>
      </c>
      <c r="G46" s="2" t="inlineStr">
        <is>
          <t>2026-09-06</t>
        </is>
      </c>
      <c r="H46" s="2" t="inlineStr">
        <is>
          <t>2026-09-16</t>
        </is>
      </c>
      <c r="I46" s="2" t="inlineStr">
        <is>
          <t>High</t>
        </is>
      </c>
      <c r="J46" s="2" t="inlineStr">
        <is>
          <t>1. Python model training script (train.py)
2. Serialized model artifact (.joblib)
3. FastAPI application (app.py) with /predict
4. Dockerfile &amp; requirements.txt
5. Model card &amp; validation report PDF</t>
        </is>
      </c>
      <c r="K46" s="2" t="inlineStr">
        <is>
          <t>https://classroom.google.com/c/submissions/stu-073_task-aiml-101</t>
        </is>
      </c>
      <c r="L46" s="2" t="inlineStr">
        <is>
          <t>In Progress</t>
        </is>
      </c>
      <c r="M46" s="2" t="inlineStr">
        <is>
          <t>Sent</t>
        </is>
      </c>
    </row>
    <row r="47">
      <c r="A47" s="3" t="inlineStr">
        <is>
          <t>TASK-CYBR-602</t>
        </is>
      </c>
      <c r="B47" s="3" t="inlineStr">
        <is>
          <t>SOC Intrusion Detection &amp; SIEM Log Correlation Engine</t>
        </is>
      </c>
      <c r="C47" s="3" t="inlineStr">
        <is>
          <t>Construct an automated log correlation parser that ingests syslog and web access logs, detects brute-force authentication attacks and lateral movement patterns, and generates automated incident response tickets.</t>
        </is>
      </c>
      <c r="D47" s="3" t="inlineStr">
        <is>
          <t>STU-072</t>
        </is>
      </c>
      <c r="E47" s="3" t="inlineStr">
        <is>
          <t>Priya Jackson</t>
        </is>
      </c>
      <c r="F47" s="3" t="inlineStr">
        <is>
          <t>student072@example-interns.edu</t>
        </is>
      </c>
      <c r="G47" s="3" t="inlineStr">
        <is>
          <t>2026-09-05</t>
        </is>
      </c>
      <c r="H47" s="3" t="inlineStr">
        <is>
          <t>2026-09-15</t>
        </is>
      </c>
      <c r="I47" s="3" t="inlineStr">
        <is>
          <t>High</t>
        </is>
      </c>
      <c r="J47" s="3" t="inlineStr">
        <is>
          <t>1. Log ingestion and parsing engine (regex/JSON)
2. Sigma-compatible detection rules
3. Alert correlation and threshold detector
4. Incident response triage playbook
5. Synthetic log test generator</t>
        </is>
      </c>
      <c r="K47" s="3" t="inlineStr">
        <is>
          <t>https://classroom.google.com/c/submissions/stu-072_task-cybr-602</t>
        </is>
      </c>
      <c r="L47" s="3" t="inlineStr">
        <is>
          <t>In Progress</t>
        </is>
      </c>
      <c r="M47" s="3" t="inlineStr">
        <is>
          <t>Sent</t>
        </is>
      </c>
    </row>
    <row r="48">
      <c r="A48" s="2" t="inlineStr">
        <is>
          <t>TASK-MOBL-501</t>
        </is>
      </c>
      <c r="B48" s="2" t="inlineStr">
        <is>
          <t>Cross-Platform Habit Tracker with Offline SQLite &amp; Push Alerts</t>
        </is>
      </c>
      <c r="C48" s="2" t="inlineStr">
        <is>
          <t>Build a cross-platform mobile application (React Native or Flutter) that allows users to track daily habits, streaks, and completion analytics. Implement local SQLite persistence with background push notification reminders.</t>
        </is>
      </c>
      <c r="D48" s="2" t="inlineStr">
        <is>
          <t>STU-071</t>
        </is>
      </c>
      <c r="E48" s="2" t="inlineStr">
        <is>
          <t>Olivia Thomas</t>
        </is>
      </c>
      <c r="F48" s="2" t="inlineStr">
        <is>
          <t>student071@example-interns.edu</t>
        </is>
      </c>
      <c r="G48" s="2" t="inlineStr">
        <is>
          <t>2026-09-04</t>
        </is>
      </c>
      <c r="H48" s="2" t="inlineStr">
        <is>
          <t>2026-09-14</t>
        </is>
      </c>
      <c r="I48" s="2" t="inlineStr">
        <is>
          <t>Medium</t>
        </is>
      </c>
      <c r="J48" s="2" t="inlineStr">
        <is>
          <t>1. Mobile application source code
2. Local SQLite database schema and ORM layer
3. Scheduled local notification service
4. APK / test bundle
5. Architecture and state management breakdown</t>
        </is>
      </c>
      <c r="K48" s="2" t="inlineStr">
        <is>
          <t>https://classroom.google.com/c/submissions/stu-071_task-mobl-501</t>
        </is>
      </c>
      <c r="L48" s="2" t="inlineStr">
        <is>
          <t>In Progress</t>
        </is>
      </c>
      <c r="M48" s="2" t="inlineStr">
        <is>
          <t>Sent</t>
        </is>
      </c>
    </row>
    <row r="49">
      <c r="A49" s="3" t="inlineStr">
        <is>
          <t>TASK-DEVO-402</t>
        </is>
      </c>
      <c r="B49" s="3" t="inlineStr">
        <is>
          <t>Kubernetes Microservices Observability with Prometheus &amp; Grafana</t>
        </is>
      </c>
      <c r="C49" s="3" t="inlineStr">
        <is>
          <t>Deploy a 3-tier microservice onto Kubernetes (Minikube / k3s). Implement metric scraping with Prometheus, custom application dashboards in Grafana, and Slack/email Alertmanager rules for pod crash and latency spikes.</t>
        </is>
      </c>
      <c r="D49" s="3" t="inlineStr">
        <is>
          <t>STU-070</t>
        </is>
      </c>
      <c r="E49" s="3" t="inlineStr">
        <is>
          <t>Noah Gonzalez</t>
        </is>
      </c>
      <c r="F49" s="3" t="inlineStr">
        <is>
          <t>student070@example-interns.edu</t>
        </is>
      </c>
      <c r="G49" s="3" t="inlineStr">
        <is>
          <t>2026-09-03</t>
        </is>
      </c>
      <c r="H49" s="3" t="inlineStr">
        <is>
          <t>2026-09-14</t>
        </is>
      </c>
      <c r="I49" s="3" t="inlineStr">
        <is>
          <t>High</t>
        </is>
      </c>
      <c r="J49" s="3" t="inlineStr">
        <is>
          <t>1. Kubernetes deployment and service manifests
2. Prometheus ServiceMonitor &amp; scrape configs
3. Exported Grafana dashboard JSON
4. Alertmanager rules YAML
5. Chaos testing documentation and proof of alerts</t>
        </is>
      </c>
      <c r="K49" s="3" t="inlineStr">
        <is>
          <t>https://classroom.google.com/c/submissions/stu-070_task-devo-402</t>
        </is>
      </c>
      <c r="L49" s="3" t="inlineStr">
        <is>
          <t>In Progress</t>
        </is>
      </c>
      <c r="M49" s="3" t="inlineStr">
        <is>
          <t>Sent</t>
        </is>
      </c>
    </row>
    <row r="50">
      <c r="A50" s="2" t="inlineStr">
        <is>
          <t>TASK-DATA-301</t>
        </is>
      </c>
      <c r="B50" s="2" t="inlineStr">
        <is>
          <t>Automated Multi-Source Retail Sales ETL &amp; KPI Dashboard</t>
        </is>
      </c>
      <c r="C50" s="2" t="inlineStr">
        <is>
          <t>Extract raw CSV and JSON transaction logs, clean nulls/outliers in Pandas, load into a star-schema database, and construct an interactive dashboard featuring MoM growth, cohort retention, and customer lifetime value.</t>
        </is>
      </c>
      <c r="D50" s="2" t="inlineStr">
        <is>
          <t>STU-069</t>
        </is>
      </c>
      <c r="E50" s="2" t="inlineStr">
        <is>
          <t>Maya Martinez</t>
        </is>
      </c>
      <c r="F50" s="2" t="inlineStr">
        <is>
          <t>student069@example-interns.edu</t>
        </is>
      </c>
      <c r="G50" s="2" t="inlineStr">
        <is>
          <t>2026-09-12</t>
        </is>
      </c>
      <c r="H50" s="2" t="inlineStr">
        <is>
          <t>2026-09-20</t>
        </is>
      </c>
      <c r="I50" s="2" t="inlineStr">
        <is>
          <t>Medium</t>
        </is>
      </c>
      <c r="J50" s="2" t="inlineStr">
        <is>
          <t>1. Automated ETL python script with logging
2. Cleaned dimensional data warehouse tables
3. Interactive dashboard (Streamlit / Dash)
4. Business insight briefing report (PDF/Markdown)
5. Data dictionary &amp; pipeline diagram</t>
        </is>
      </c>
      <c r="K50" s="2" t="inlineStr">
        <is>
          <t>https://classroom.google.com/c/submissions/stu-069_task-data-301</t>
        </is>
      </c>
      <c r="L50" s="2" t="inlineStr">
        <is>
          <t>In Progress</t>
        </is>
      </c>
      <c r="M50" s="2" t="inlineStr">
        <is>
          <t>Sent</t>
        </is>
      </c>
    </row>
    <row r="51">
      <c r="A51" s="3" t="inlineStr">
        <is>
          <t>TASK-FSWD-202</t>
        </is>
      </c>
      <c r="B51" s="3" t="inlineStr">
        <is>
          <t>Real-Time Collaboration Kanban Board with WebSockets</t>
        </is>
      </c>
      <c r="C51" s="3" t="inlineStr">
        <is>
          <t>Develop a multi-tenant Kanban board application where updates to columns, cards, and drag-and-drop actions are synchronized in real-time across connected browser clients using WebSockets.</t>
        </is>
      </c>
      <c r="D51" s="3" t="inlineStr">
        <is>
          <t>STU-068</t>
        </is>
      </c>
      <c r="E51" s="3" t="inlineStr">
        <is>
          <t>Liam Miller</t>
        </is>
      </c>
      <c r="F51" s="3" t="inlineStr">
        <is>
          <t>student068@example-interns.edu</t>
        </is>
      </c>
      <c r="G51" s="3" t="inlineStr">
        <is>
          <t>2026-09-11</t>
        </is>
      </c>
      <c r="H51" s="3" t="inlineStr">
        <is>
          <t>2026-09-21</t>
        </is>
      </c>
      <c r="I51" s="3" t="inlineStr">
        <is>
          <t>Medium</t>
        </is>
      </c>
      <c r="J51" s="3" t="inlineStr">
        <is>
          <t>1. Frontend single page app with drag-and-drop
2. WebSocket server with room management
3. Optimistic UI updates with rollback
4. Responsive CSS layout
5. System architecture document</t>
        </is>
      </c>
      <c r="K51" s="3" t="inlineStr">
        <is>
          <t>https://classroom.google.com/c/submissions/stu-068_task-fswd-202</t>
        </is>
      </c>
      <c r="L51" s="3" t="inlineStr">
        <is>
          <t>In Progress</t>
        </is>
      </c>
      <c r="M51" s="3" t="inlineStr">
        <is>
          <t>Sent</t>
        </is>
      </c>
    </row>
    <row r="52">
      <c r="A52" s="2" t="inlineStr">
        <is>
          <t>TASK-AIML-101</t>
        </is>
      </c>
      <c r="B52" s="2" t="inlineStr">
        <is>
          <t>Customer Churn Prediction Pipeline with Scikit-Learn &amp; FastAPI</t>
        </is>
      </c>
      <c r="C52" s="2" t="inlineStr">
        <is>
          <t>Build an end-to-end churn prediction model on telecom customer data. Preprocess tabular data, train Random Forest / XGBoost, evaluate ROC-AUC, and expose inference via a FastAPI REST endpoint with Dockerfile.</t>
        </is>
      </c>
      <c r="D52" s="2" t="inlineStr">
        <is>
          <t>STU-067</t>
        </is>
      </c>
      <c r="E52" s="2" t="inlineStr">
        <is>
          <t>Kavya Brown</t>
        </is>
      </c>
      <c r="F52" s="2" t="inlineStr">
        <is>
          <t>student067@example-interns.edu</t>
        </is>
      </c>
      <c r="G52" s="2" t="inlineStr">
        <is>
          <t>2026-09-10</t>
        </is>
      </c>
      <c r="H52" s="2" t="inlineStr">
        <is>
          <t>2026-09-20</t>
        </is>
      </c>
      <c r="I52" s="2" t="inlineStr">
        <is>
          <t>High</t>
        </is>
      </c>
      <c r="J52" s="2" t="inlineStr">
        <is>
          <t>1. Python model training script (train.py)
2. Serialized model artifact (.joblib)
3. FastAPI application (app.py) with /predict
4. Dockerfile &amp; requirements.txt
5. Model card &amp; validation report PDF</t>
        </is>
      </c>
      <c r="K52" s="2" t="inlineStr">
        <is>
          <t>https://classroom.google.com/c/submissions/stu-067_task-aiml-101</t>
        </is>
      </c>
      <c r="L52" s="2" t="inlineStr">
        <is>
          <t>In Progress</t>
        </is>
      </c>
      <c r="M52" s="2" t="inlineStr">
        <is>
          <t>Sent</t>
        </is>
      </c>
    </row>
    <row r="53">
      <c r="A53" s="3" t="inlineStr">
        <is>
          <t>TASK-CYBR-602</t>
        </is>
      </c>
      <c r="B53" s="3" t="inlineStr">
        <is>
          <t>SOC Intrusion Detection &amp; SIEM Log Correlation Engine</t>
        </is>
      </c>
      <c r="C53" s="3" t="inlineStr">
        <is>
          <t>Construct an automated log correlation parser that ingests syslog and web access logs, detects brute-force authentication attacks and lateral movement patterns, and generates automated incident response tickets.</t>
        </is>
      </c>
      <c r="D53" s="3" t="inlineStr">
        <is>
          <t>STU-066</t>
        </is>
      </c>
      <c r="E53" s="3" t="inlineStr">
        <is>
          <t>Jia Smith</t>
        </is>
      </c>
      <c r="F53" s="3" t="inlineStr">
        <is>
          <t>student066@example-interns.edu</t>
        </is>
      </c>
      <c r="G53" s="3" t="inlineStr">
        <is>
          <t>2026-09-09</t>
        </is>
      </c>
      <c r="H53" s="3" t="inlineStr">
        <is>
          <t>2026-09-19</t>
        </is>
      </c>
      <c r="I53" s="3" t="inlineStr">
        <is>
          <t>High</t>
        </is>
      </c>
      <c r="J53" s="3" t="inlineStr">
        <is>
          <t>1. Log ingestion and parsing engine (regex/JSON)
2. Sigma-compatible detection rules
3. Alert correlation and threshold detector
4. Incident response triage playbook
5. Synthetic log test generator</t>
        </is>
      </c>
      <c r="K53" s="3" t="inlineStr">
        <is>
          <t>https://classroom.google.com/c/submissions/stu-066_task-cybr-602</t>
        </is>
      </c>
      <c r="L53" s="3" t="inlineStr">
        <is>
          <t>In Progress</t>
        </is>
      </c>
      <c r="M53" s="3" t="inlineStr">
        <is>
          <t>Sent</t>
        </is>
      </c>
    </row>
    <row r="54">
      <c r="A54" s="2" t="inlineStr">
        <is>
          <t>TASK-MOBL-501</t>
        </is>
      </c>
      <c r="B54" s="2" t="inlineStr">
        <is>
          <t>Cross-Platform Habit Tracker with Offline SQLite &amp; Push Alerts</t>
        </is>
      </c>
      <c r="C54" s="2" t="inlineStr">
        <is>
          <t>Build a cross-platform mobile application (React Native or Flutter) that allows users to track daily habits, streaks, and completion analytics. Implement local SQLite persistence with background push notification reminders.</t>
        </is>
      </c>
      <c r="D54" s="2" t="inlineStr">
        <is>
          <t>STU-065</t>
        </is>
      </c>
      <c r="E54" s="2" t="inlineStr">
        <is>
          <t>James Mitchell</t>
        </is>
      </c>
      <c r="F54" s="2" t="inlineStr">
        <is>
          <t>student065@example-interns.edu</t>
        </is>
      </c>
      <c r="G54" s="2" t="inlineStr">
        <is>
          <t>2026-09-08</t>
        </is>
      </c>
      <c r="H54" s="2" t="inlineStr">
        <is>
          <t>2026-09-18</t>
        </is>
      </c>
      <c r="I54" s="2" t="inlineStr">
        <is>
          <t>Medium</t>
        </is>
      </c>
      <c r="J54" s="2" t="inlineStr">
        <is>
          <t>1. Mobile application source code
2. Local SQLite database schema and ORM layer
3. Scheduled local notification service
4. APK / test bundle
5. Architecture and state management breakdown</t>
        </is>
      </c>
      <c r="K54" s="2" t="inlineStr">
        <is>
          <t>https://classroom.google.com/c/submissions/stu-065_task-mobl-501</t>
        </is>
      </c>
      <c r="L54" s="2" t="inlineStr">
        <is>
          <t>In Progress</t>
        </is>
      </c>
      <c r="M54" s="2" t="inlineStr">
        <is>
          <t>Sent</t>
        </is>
      </c>
    </row>
    <row r="55">
      <c r="A55" s="3" t="inlineStr">
        <is>
          <t>TASK-DEVO-402</t>
        </is>
      </c>
      <c r="B55" s="3" t="inlineStr">
        <is>
          <t>Kubernetes Microservices Observability with Prometheus &amp; Grafana</t>
        </is>
      </c>
      <c r="C55" s="3" t="inlineStr">
        <is>
          <t>Deploy a 3-tier microservice onto Kubernetes (Minikube / k3s). Implement metric scraping with Prometheus, custom application dashboards in Grafana, and Slack/email Alertmanager rules for pod crash and latency spikes.</t>
        </is>
      </c>
      <c r="D55" s="3" t="inlineStr">
        <is>
          <t>STU-064</t>
        </is>
      </c>
      <c r="E55" s="3" t="inlineStr">
        <is>
          <t>Isabella Hall</t>
        </is>
      </c>
      <c r="F55" s="3" t="inlineStr">
        <is>
          <t>student064@example-interns.edu</t>
        </is>
      </c>
      <c r="G55" s="3" t="inlineStr">
        <is>
          <t>2026-09-07</t>
        </is>
      </c>
      <c r="H55" s="3" t="inlineStr">
        <is>
          <t>2026-09-18</t>
        </is>
      </c>
      <c r="I55" s="3" t="inlineStr">
        <is>
          <t>High</t>
        </is>
      </c>
      <c r="J55" s="3" t="inlineStr">
        <is>
          <t>1. Kubernetes deployment and service manifests
2. Prometheus ServiceMonitor &amp; scrape configs
3. Exported Grafana dashboard JSON
4. Alertmanager rules YAML
5. Chaos testing documentation and proof of alerts</t>
        </is>
      </c>
      <c r="K55" s="3" t="inlineStr">
        <is>
          <t>https://classroom.google.com/c/submissions/stu-064_task-devo-402</t>
        </is>
      </c>
      <c r="L55" s="3" t="inlineStr">
        <is>
          <t>In Progress</t>
        </is>
      </c>
      <c r="M55" s="3" t="inlineStr">
        <is>
          <t>Sent</t>
        </is>
      </c>
    </row>
    <row r="56">
      <c r="A56" s="2" t="inlineStr">
        <is>
          <t>TASK-DATA-301</t>
        </is>
      </c>
      <c r="B56" s="2" t="inlineStr">
        <is>
          <t>Automated Multi-Source Retail Sales ETL &amp; KPI Dashboard</t>
        </is>
      </c>
      <c r="C56" s="2" t="inlineStr">
        <is>
          <t>Extract raw CSV and JSON transaction logs, clean nulls/outliers in Pandas, load into a star-schema database, and construct an interactive dashboard featuring MoM growth, cohort retention, and customer lifetime value.</t>
        </is>
      </c>
      <c r="D56" s="2" t="inlineStr">
        <is>
          <t>STU-063</t>
        </is>
      </c>
      <c r="E56" s="2" t="inlineStr">
        <is>
          <t>Hassan Adams</t>
        </is>
      </c>
      <c r="F56" s="2" t="inlineStr">
        <is>
          <t>student063@example-interns.edu</t>
        </is>
      </c>
      <c r="G56" s="2" t="inlineStr">
        <is>
          <t>2026-09-06</t>
        </is>
      </c>
      <c r="H56" s="2" t="inlineStr">
        <is>
          <t>2026-09-14</t>
        </is>
      </c>
      <c r="I56" s="2" t="inlineStr">
        <is>
          <t>Medium</t>
        </is>
      </c>
      <c r="J56" s="2" t="inlineStr">
        <is>
          <t>1. Automated ETL python script with logging
2. Cleaned dimensional data warehouse tables
3. Interactive dashboard (Streamlit / Dash)
4. Business insight briefing report (PDF/Markdown)
5. Data dictionary &amp; pipeline diagram</t>
        </is>
      </c>
      <c r="K56" s="2" t="inlineStr">
        <is>
          <t>https://classroom.google.com/c/submissions/stu-063_task-data-301</t>
        </is>
      </c>
      <c r="L56" s="2" t="inlineStr">
        <is>
          <t>In Progress</t>
        </is>
      </c>
      <c r="M56" s="2" t="inlineStr">
        <is>
          <t>Sent</t>
        </is>
      </c>
    </row>
    <row r="57">
      <c r="A57" s="3" t="inlineStr">
        <is>
          <t>TASK-FSWD-202</t>
        </is>
      </c>
      <c r="B57" s="3" t="inlineStr">
        <is>
          <t>Real-Time Collaboration Kanban Board with WebSockets</t>
        </is>
      </c>
      <c r="C57" s="3" t="inlineStr">
        <is>
          <t>Develop a multi-tenant Kanban board application where updates to columns, cards, and drag-and-drop actions are synchronized in real-time across connected browser clients using WebSockets.</t>
        </is>
      </c>
      <c r="D57" s="3" t="inlineStr">
        <is>
          <t>STU-062</t>
        </is>
      </c>
      <c r="E57" s="3" t="inlineStr">
        <is>
          <t>Grace Hill</t>
        </is>
      </c>
      <c r="F57" s="3" t="inlineStr">
        <is>
          <t>student062@example-interns.edu</t>
        </is>
      </c>
      <c r="G57" s="3" t="inlineStr">
        <is>
          <t>2026-09-05</t>
        </is>
      </c>
      <c r="H57" s="3" t="inlineStr">
        <is>
          <t>2026-09-15</t>
        </is>
      </c>
      <c r="I57" s="3" t="inlineStr">
        <is>
          <t>Medium</t>
        </is>
      </c>
      <c r="J57" s="3" t="inlineStr">
        <is>
          <t>1. Frontend single page app with drag-and-drop
2. WebSocket server with room management
3. Optimistic UI updates with rollback
4. Responsive CSS layout
5. System architecture document</t>
        </is>
      </c>
      <c r="K57" s="3" t="inlineStr">
        <is>
          <t>https://classroom.google.com/c/submissions/stu-062_task-fswd-202</t>
        </is>
      </c>
      <c r="L57" s="3" t="inlineStr">
        <is>
          <t>In Progress</t>
        </is>
      </c>
      <c r="M57" s="3" t="inlineStr">
        <is>
          <t>Sent</t>
        </is>
      </c>
    </row>
    <row r="58">
      <c r="A58" s="2" t="inlineStr">
        <is>
          <t>TASK-AIML-101</t>
        </is>
      </c>
      <c r="B58" s="2" t="inlineStr">
        <is>
          <t>Customer Churn Prediction Pipeline with Scikit-Learn &amp; FastAPI</t>
        </is>
      </c>
      <c r="C58" s="2" t="inlineStr">
        <is>
          <t>Build an end-to-end churn prediction model on telecom customer data. Preprocess tabular data, train Random Forest / XGBoost, evaluate ROC-AUC, and expose inference via a FastAPI REST endpoint with Dockerfile.</t>
        </is>
      </c>
      <c r="D58" s="2" t="inlineStr">
        <is>
          <t>STU-061</t>
        </is>
      </c>
      <c r="E58" s="2" t="inlineStr">
        <is>
          <t>Gabriel Scott</t>
        </is>
      </c>
      <c r="F58" s="2" t="inlineStr">
        <is>
          <t>student061@example-interns.edu</t>
        </is>
      </c>
      <c r="G58" s="2" t="inlineStr">
        <is>
          <t>2026-09-04</t>
        </is>
      </c>
      <c r="H58" s="2" t="inlineStr">
        <is>
          <t>2026-09-14</t>
        </is>
      </c>
      <c r="I58" s="2" t="inlineStr">
        <is>
          <t>High</t>
        </is>
      </c>
      <c r="J58" s="2" t="inlineStr">
        <is>
          <t>1. Python model training script (train.py)
2. Serialized model artifact (.joblib)
3. FastAPI application (app.py) with /predict
4. Dockerfile &amp; requirements.txt
5. Model card &amp; validation report PDF</t>
        </is>
      </c>
      <c r="K58" s="2" t="inlineStr">
        <is>
          <t>https://classroom.google.com/c/submissions/stu-061_task-aiml-101</t>
        </is>
      </c>
      <c r="L58" s="2" t="inlineStr">
        <is>
          <t>In Progress</t>
        </is>
      </c>
      <c r="M58" s="2" t="inlineStr">
        <is>
          <t>Sent</t>
        </is>
      </c>
    </row>
    <row r="59">
      <c r="A59" s="3" t="inlineStr">
        <is>
          <t>TASK-CYBR-602</t>
        </is>
      </c>
      <c r="B59" s="3" t="inlineStr">
        <is>
          <t>SOC Intrusion Detection &amp; SIEM Log Correlation Engine</t>
        </is>
      </c>
      <c r="C59" s="3" t="inlineStr">
        <is>
          <t>Construct an automated log correlation parser that ingests syslog and web access logs, detects brute-force authentication attacks and lateral movement patterns, and generates automated incident response tickets.</t>
        </is>
      </c>
      <c r="D59" s="3" t="inlineStr">
        <is>
          <t>STU-060</t>
        </is>
      </c>
      <c r="E59" s="3" t="inlineStr">
        <is>
          <t>Fatima Allen</t>
        </is>
      </c>
      <c r="F59" s="3" t="inlineStr">
        <is>
          <t>student060@example-interns.edu</t>
        </is>
      </c>
      <c r="G59" s="3" t="inlineStr">
        <is>
          <t>2026-09-03</t>
        </is>
      </c>
      <c r="H59" s="3" t="inlineStr">
        <is>
          <t>2026-09-13</t>
        </is>
      </c>
      <c r="I59" s="3" t="inlineStr">
        <is>
          <t>High</t>
        </is>
      </c>
      <c r="J59" s="3" t="inlineStr">
        <is>
          <t>1. Log ingestion and parsing engine (regex/JSON)
2. Sigma-compatible detection rules
3. Alert correlation and threshold detector
4. Incident response triage playbook
5. Synthetic log test generator</t>
        </is>
      </c>
      <c r="K59" s="3" t="inlineStr">
        <is>
          <t>https://classroom.google.com/c/submissions/stu-060_task-cybr-602</t>
        </is>
      </c>
      <c r="L59" s="3" t="inlineStr">
        <is>
          <t>Corrections Required</t>
        </is>
      </c>
      <c r="M59" s="3" t="inlineStr">
        <is>
          <t>Sent</t>
        </is>
      </c>
    </row>
    <row r="60">
      <c r="A60" s="2" t="inlineStr">
        <is>
          <t>TASK-MOBL-501</t>
        </is>
      </c>
      <c r="B60" s="2" t="inlineStr">
        <is>
          <t>Cross-Platform Habit Tracker with Offline SQLite &amp; Push Alerts</t>
        </is>
      </c>
      <c r="C60" s="2" t="inlineStr">
        <is>
          <t>Build a cross-platform mobile application (React Native or Flutter) that allows users to track daily habits, streaks, and completion analytics. Implement local SQLite persistence with background push notification reminders.</t>
        </is>
      </c>
      <c r="D60" s="2" t="inlineStr">
        <is>
          <t>STU-059</t>
        </is>
      </c>
      <c r="E60" s="2" t="inlineStr">
        <is>
          <t>Ethan Robinson</t>
        </is>
      </c>
      <c r="F60" s="2" t="inlineStr">
        <is>
          <t>student059@example-interns.edu</t>
        </is>
      </c>
      <c r="G60" s="2" t="inlineStr">
        <is>
          <t>2026-09-12</t>
        </is>
      </c>
      <c r="H60" s="2" t="inlineStr">
        <is>
          <t>2026-09-22</t>
        </is>
      </c>
      <c r="I60" s="2" t="inlineStr">
        <is>
          <t>Medium</t>
        </is>
      </c>
      <c r="J60" s="2" t="inlineStr">
        <is>
          <t>1. Mobile application source code
2. Local SQLite database schema and ORM layer
3. Scheduled local notification service
4. APK / test bundle
5. Architecture and state management breakdown</t>
        </is>
      </c>
      <c r="K60" s="2" t="inlineStr">
        <is>
          <t>https://classroom.google.com/c/submissions/stu-059_task-mobl-501</t>
        </is>
      </c>
      <c r="L60" s="2" t="inlineStr">
        <is>
          <t>Corrections Required</t>
        </is>
      </c>
      <c r="M60" s="2" t="inlineStr">
        <is>
          <t>Sent</t>
        </is>
      </c>
    </row>
    <row r="61">
      <c r="A61" s="3" t="inlineStr">
        <is>
          <t>TASK-DEVO-402</t>
        </is>
      </c>
      <c r="B61" s="3" t="inlineStr">
        <is>
          <t>Kubernetes Microservices Observability with Prometheus &amp; Grafana</t>
        </is>
      </c>
      <c r="C61" s="3" t="inlineStr">
        <is>
          <t>Deploy a 3-tier microservice onto Kubernetes (Minikube / k3s). Implement metric scraping with Prometheus, custom application dashboards in Grafana, and Slack/email Alertmanager rules for pod crash and latency spikes.</t>
        </is>
      </c>
      <c r="D61" s="3" t="inlineStr">
        <is>
          <t>STU-058</t>
        </is>
      </c>
      <c r="E61" s="3" t="inlineStr">
        <is>
          <t>Divya Clark</t>
        </is>
      </c>
      <c r="F61" s="3" t="inlineStr">
        <is>
          <t>student058@example-interns.edu</t>
        </is>
      </c>
      <c r="G61" s="3" t="inlineStr">
        <is>
          <t>2026-09-11</t>
        </is>
      </c>
      <c r="H61" s="3" t="inlineStr">
        <is>
          <t>2026-09-22</t>
        </is>
      </c>
      <c r="I61" s="3" t="inlineStr">
        <is>
          <t>High</t>
        </is>
      </c>
      <c r="J61" s="3" t="inlineStr">
        <is>
          <t>1. Kubernetes deployment and service manifests
2. Prometheus ServiceMonitor &amp; scrape configs
3. Exported Grafana dashboard JSON
4. Alertmanager rules YAML
5. Chaos testing documentation and proof of alerts</t>
        </is>
      </c>
      <c r="K61" s="3" t="inlineStr">
        <is>
          <t>https://classroom.google.com/c/submissions/stu-058_task-devo-402</t>
        </is>
      </c>
      <c r="L61" s="3" t="inlineStr">
        <is>
          <t>Corrections Required</t>
        </is>
      </c>
      <c r="M61" s="3" t="inlineStr">
        <is>
          <t>Sent</t>
        </is>
      </c>
    </row>
    <row r="62">
      <c r="A62" s="2" t="inlineStr">
        <is>
          <t>TASK-DATA-301</t>
        </is>
      </c>
      <c r="B62" s="2" t="inlineStr">
        <is>
          <t>Automated Multi-Source Retail Sales ETL &amp; KPI Dashboard</t>
        </is>
      </c>
      <c r="C62" s="2" t="inlineStr">
        <is>
          <t>Extract raw CSV and JSON transaction logs, clean nulls/outliers in Pandas, load into a star-schema database, and construct an interactive dashboard featuring MoM growth, cohort retention, and customer lifetime value.</t>
        </is>
      </c>
      <c r="D62" s="2" t="inlineStr">
        <is>
          <t>STU-057</t>
        </is>
      </c>
      <c r="E62" s="2" t="inlineStr">
        <is>
          <t>David White</t>
        </is>
      </c>
      <c r="F62" s="2" t="inlineStr">
        <is>
          <t>student057@example-interns.edu</t>
        </is>
      </c>
      <c r="G62" s="2" t="inlineStr">
        <is>
          <t>2026-09-10</t>
        </is>
      </c>
      <c r="H62" s="2" t="inlineStr">
        <is>
          <t>2026-09-18</t>
        </is>
      </c>
      <c r="I62" s="2" t="inlineStr">
        <is>
          <t>Medium</t>
        </is>
      </c>
      <c r="J62" s="2" t="inlineStr">
        <is>
          <t>1. Automated ETL python script with logging
2. Cleaned dimensional data warehouse tables
3. Interactive dashboard (Streamlit / Dash)
4. Business insight briefing report (PDF/Markdown)
5. Data dictionary &amp; pipeline diagram</t>
        </is>
      </c>
      <c r="K62" s="2" t="inlineStr">
        <is>
          <t>https://classroom.google.com/c/submissions/stu-057_task-data-301</t>
        </is>
      </c>
      <c r="L62" s="2" t="inlineStr">
        <is>
          <t>Corrections Required</t>
        </is>
      </c>
      <c r="M62" s="2" t="inlineStr">
        <is>
          <t>Sent</t>
        </is>
      </c>
    </row>
    <row r="63">
      <c r="A63" s="3" t="inlineStr">
        <is>
          <t>TASK-FSWD-202</t>
        </is>
      </c>
      <c r="B63" s="3" t="inlineStr">
        <is>
          <t>Real-Time Collaboration Kanban Board with WebSockets</t>
        </is>
      </c>
      <c r="C63" s="3" t="inlineStr">
        <is>
          <t>Develop a multi-tenant Kanban board application where updates to columns, cards, and drag-and-drop actions are synchronized in real-time across connected browser clients using WebSockets.</t>
        </is>
      </c>
      <c r="D63" s="3" t="inlineStr">
        <is>
          <t>STU-056</t>
        </is>
      </c>
      <c r="E63" s="3" t="inlineStr">
        <is>
          <t>Chloe Lee</t>
        </is>
      </c>
      <c r="F63" s="3" t="inlineStr">
        <is>
          <t>student056@example-interns.edu</t>
        </is>
      </c>
      <c r="G63" s="3" t="inlineStr">
        <is>
          <t>2026-09-09</t>
        </is>
      </c>
      <c r="H63" s="3" t="inlineStr">
        <is>
          <t>2026-09-19</t>
        </is>
      </c>
      <c r="I63" s="3" t="inlineStr">
        <is>
          <t>Medium</t>
        </is>
      </c>
      <c r="J63" s="3" t="inlineStr">
        <is>
          <t>1. Frontend single page app with drag-and-drop
2. WebSocket server with room management
3. Optimistic UI updates with rollback
4. Responsive CSS layout
5. System architecture document</t>
        </is>
      </c>
      <c r="K63" s="3" t="inlineStr">
        <is>
          <t>https://classroom.google.com/c/submissions/stu-056_task-fswd-202</t>
        </is>
      </c>
      <c r="L63" s="3" t="inlineStr">
        <is>
          <t>Corrections Required</t>
        </is>
      </c>
      <c r="M63" s="3" t="inlineStr">
        <is>
          <t>Sent</t>
        </is>
      </c>
    </row>
    <row r="64">
      <c r="A64" s="2" t="inlineStr">
        <is>
          <t>TASK-AIML-101</t>
        </is>
      </c>
      <c r="B64" s="2" t="inlineStr">
        <is>
          <t>Customer Churn Prediction Pipeline with Scikit-Learn &amp; FastAPI</t>
        </is>
      </c>
      <c r="C64" s="2" t="inlineStr">
        <is>
          <t>Build an end-to-end churn prediction model on telecom customer data. Preprocess tabular data, train Random Forest / XGBoost, evaluate ROC-AUC, and expose inference via a FastAPI REST endpoint with Dockerfile.</t>
        </is>
      </c>
      <c r="D64" s="2" t="inlineStr">
        <is>
          <t>STU-055</t>
        </is>
      </c>
      <c r="E64" s="2" t="inlineStr">
        <is>
          <t>Carlos Moore</t>
        </is>
      </c>
      <c r="F64" s="2" t="inlineStr">
        <is>
          <t>student055@example-interns.edu</t>
        </is>
      </c>
      <c r="G64" s="2" t="inlineStr">
        <is>
          <t>2026-09-08</t>
        </is>
      </c>
      <c r="H64" s="2" t="inlineStr">
        <is>
          <t>2026-09-18</t>
        </is>
      </c>
      <c r="I64" s="2" t="inlineStr">
        <is>
          <t>High</t>
        </is>
      </c>
      <c r="J64" s="2" t="inlineStr">
        <is>
          <t>1. Python model training script (train.py)
2. Serialized model artifact (.joblib)
3. FastAPI application (app.py) with /predict
4. Dockerfile &amp; requirements.txt
5. Model card &amp; validation report PDF</t>
        </is>
      </c>
      <c r="K64" s="2" t="inlineStr">
        <is>
          <t>https://classroom.google.com/c/submissions/stu-055_task-aiml-101</t>
        </is>
      </c>
      <c r="L64" s="2" t="inlineStr">
        <is>
          <t>Corrections Required</t>
        </is>
      </c>
      <c r="M64" s="2" t="inlineStr">
        <is>
          <t>Sent</t>
        </is>
      </c>
    </row>
    <row r="65">
      <c r="A65" s="3" t="inlineStr">
        <is>
          <t>TASK-CYBR-602</t>
        </is>
      </c>
      <c r="B65" s="3" t="inlineStr">
        <is>
          <t>SOC Intrusion Detection &amp; SIEM Log Correlation Engine</t>
        </is>
      </c>
      <c r="C65" s="3" t="inlineStr">
        <is>
          <t>Construct an automated log correlation parser that ingests syslog and web access logs, detects brute-force authentication attacks and lateral movement patterns, and generates automated incident response tickets.</t>
        </is>
      </c>
      <c r="D65" s="3" t="inlineStr">
        <is>
          <t>STU-054</t>
        </is>
      </c>
      <c r="E65" s="3" t="inlineStr">
        <is>
          <t>Amara Anderson</t>
        </is>
      </c>
      <c r="F65" s="3" t="inlineStr">
        <is>
          <t>student054@example-interns.edu</t>
        </is>
      </c>
      <c r="G65" s="3" t="inlineStr">
        <is>
          <t>2026-09-07</t>
        </is>
      </c>
      <c r="H65" s="3" t="inlineStr">
        <is>
          <t>2026-09-17</t>
        </is>
      </c>
      <c r="I65" s="3" t="inlineStr">
        <is>
          <t>High</t>
        </is>
      </c>
      <c r="J65" s="3" t="inlineStr">
        <is>
          <t>1. Log ingestion and parsing engine (regex/JSON)
2. Sigma-compatible detection rules
3. Alert correlation and threshold detector
4. Incident response triage playbook
5. Synthetic log test generator</t>
        </is>
      </c>
      <c r="K65" s="3" t="inlineStr">
        <is>
          <t>https://classroom.google.com/c/submissions/stu-054_task-cybr-602</t>
        </is>
      </c>
      <c r="L65" s="3" t="inlineStr">
        <is>
          <t>Corrections Required</t>
        </is>
      </c>
      <c r="M65" s="3" t="inlineStr">
        <is>
          <t>Sent</t>
        </is>
      </c>
    </row>
    <row r="66">
      <c r="A66" s="2" t="inlineStr">
        <is>
          <t>TASK-MOBL-501</t>
        </is>
      </c>
      <c r="B66" s="2" t="inlineStr">
        <is>
          <t>Cross-Platform Habit Tracker with Offline SQLite &amp; Push Alerts</t>
        </is>
      </c>
      <c r="C66" s="2" t="inlineStr">
        <is>
          <t>Build a cross-platform mobile application (React Native or Flutter) that allows users to track daily habits, streaks, and completion analytics. Implement local SQLite persistence with background push notification reminders.</t>
        </is>
      </c>
      <c r="D66" s="2" t="inlineStr">
        <is>
          <t>STU-053</t>
        </is>
      </c>
      <c r="E66" s="2" t="inlineStr">
        <is>
          <t>Alexander Lopez</t>
        </is>
      </c>
      <c r="F66" s="2" t="inlineStr">
        <is>
          <t>student053@example-interns.edu</t>
        </is>
      </c>
      <c r="G66" s="2" t="inlineStr">
        <is>
          <t>2026-09-06</t>
        </is>
      </c>
      <c r="H66" s="2" t="inlineStr">
        <is>
          <t>2026-09-16</t>
        </is>
      </c>
      <c r="I66" s="2" t="inlineStr">
        <is>
          <t>Medium</t>
        </is>
      </c>
      <c r="J66" s="2" t="inlineStr">
        <is>
          <t>1. Mobile application source code
2. Local SQLite database schema and ORM layer
3. Scheduled local notification service
4. APK / test bundle
5. Architecture and state management breakdown</t>
        </is>
      </c>
      <c r="K66" s="2" t="inlineStr">
        <is>
          <t>https://classroom.google.com/c/submissions/stu-053_task-mobl-501</t>
        </is>
      </c>
      <c r="L66" s="2" t="inlineStr">
        <is>
          <t>Corrections Required</t>
        </is>
      </c>
      <c r="M66" s="2" t="inlineStr">
        <is>
          <t>Sent</t>
        </is>
      </c>
    </row>
    <row r="67">
      <c r="A67" s="3" t="inlineStr">
        <is>
          <t>TASK-DEVO-402</t>
        </is>
      </c>
      <c r="B67" s="3" t="inlineStr">
        <is>
          <t>Kubernetes Microservices Observability with Prometheus &amp; Grafana</t>
        </is>
      </c>
      <c r="C67" s="3" t="inlineStr">
        <is>
          <t>Deploy a 3-tier microservice onto Kubernetes (Minikube / k3s). Implement metric scraping with Prometheus, custom application dashboards in Grafana, and Slack/email Alertmanager rules for pod crash and latency spikes.</t>
        </is>
      </c>
      <c r="D67" s="3" t="inlineStr">
        <is>
          <t>STU-052</t>
        </is>
      </c>
      <c r="E67" s="3" t="inlineStr">
        <is>
          <t>Aditi Rodriguez</t>
        </is>
      </c>
      <c r="F67" s="3" t="inlineStr">
        <is>
          <t>student052@example-interns.edu</t>
        </is>
      </c>
      <c r="G67" s="3" t="inlineStr">
        <is>
          <t>2026-09-05</t>
        </is>
      </c>
      <c r="H67" s="3" t="inlineStr">
        <is>
          <t>2026-09-16</t>
        </is>
      </c>
      <c r="I67" s="3" t="inlineStr">
        <is>
          <t>High</t>
        </is>
      </c>
      <c r="J67" s="3" t="inlineStr">
        <is>
          <t>1. Kubernetes deployment and service manifests
2. Prometheus ServiceMonitor &amp; scrape configs
3. Exported Grafana dashboard JSON
4. Alertmanager rules YAML
5. Chaos testing documentation and proof of alerts</t>
        </is>
      </c>
      <c r="K67" s="3" t="inlineStr">
        <is>
          <t>https://classroom.google.com/c/submissions/stu-052_task-devo-402</t>
        </is>
      </c>
      <c r="L67" s="3" t="inlineStr">
        <is>
          <t>Corrections Required</t>
        </is>
      </c>
      <c r="M67" s="3" t="inlineStr">
        <is>
          <t>Sent</t>
        </is>
      </c>
    </row>
    <row r="68">
      <c r="A68" s="2" t="inlineStr">
        <is>
          <t>TASK-DATA-301</t>
        </is>
      </c>
      <c r="B68" s="2" t="inlineStr">
        <is>
          <t>Automated Multi-Source Retail Sales ETL &amp; KPI Dashboard</t>
        </is>
      </c>
      <c r="C68" s="2" t="inlineStr">
        <is>
          <t>Extract raw CSV and JSON transaction logs, clean nulls/outliers in Pandas, load into a star-schema database, and construct an interactive dashboard featuring MoM growth, cohort retention, and customer lifetime value.</t>
        </is>
      </c>
      <c r="D68" s="2" t="inlineStr">
        <is>
          <t>STU-051</t>
        </is>
      </c>
      <c r="E68" s="2" t="inlineStr">
        <is>
          <t>Aarav Garcia</t>
        </is>
      </c>
      <c r="F68" s="2" t="inlineStr">
        <is>
          <t>student051@example-interns.edu</t>
        </is>
      </c>
      <c r="G68" s="2" t="inlineStr">
        <is>
          <t>2026-09-04</t>
        </is>
      </c>
      <c r="H68" s="2" t="inlineStr">
        <is>
          <t>2026-09-12</t>
        </is>
      </c>
      <c r="I68" s="2" t="inlineStr">
        <is>
          <t>Medium</t>
        </is>
      </c>
      <c r="J68" s="2" t="inlineStr">
        <is>
          <t>1. Automated ETL python script with logging
2. Cleaned dimensional data warehouse tables
3. Interactive dashboard (Streamlit / Dash)
4. Business insight briefing report (PDF/Markdown)
5. Data dictionary &amp; pipeline diagram</t>
        </is>
      </c>
      <c r="K68" s="2" t="inlineStr">
        <is>
          <t>https://classroom.google.com/c/submissions/stu-051_task-data-301</t>
        </is>
      </c>
      <c r="L68" s="2" t="inlineStr">
        <is>
          <t>Corrections Required</t>
        </is>
      </c>
      <c r="M68" s="2" t="inlineStr">
        <is>
          <t>Sent</t>
        </is>
      </c>
    </row>
    <row r="69">
      <c r="A69" s="3" t="inlineStr">
        <is>
          <t>TASK-FSWD-202</t>
        </is>
      </c>
      <c r="B69" s="3" t="inlineStr">
        <is>
          <t>Real-Time Collaboration Kanban Board with WebSockets</t>
        </is>
      </c>
      <c r="C69" s="3" t="inlineStr">
        <is>
          <t>Develop a multi-tenant Kanban board application where updates to columns, cards, and drag-and-drop actions are synchronized in real-time across connected browser clients using WebSockets.</t>
        </is>
      </c>
      <c r="D69" s="3" t="inlineStr">
        <is>
          <t>STU-050</t>
        </is>
      </c>
      <c r="E69" s="3" t="inlineStr">
        <is>
          <t>Valeria Williams</t>
        </is>
      </c>
      <c r="F69" s="3" t="inlineStr">
        <is>
          <t>student050@example-interns.edu</t>
        </is>
      </c>
      <c r="G69" s="3" t="inlineStr">
        <is>
          <t>2026-09-03</t>
        </is>
      </c>
      <c r="H69" s="3" t="inlineStr">
        <is>
          <t>2026-09-13</t>
        </is>
      </c>
      <c r="I69" s="3" t="inlineStr">
        <is>
          <t>Medium</t>
        </is>
      </c>
      <c r="J69" s="3" t="inlineStr">
        <is>
          <t>1. Frontend single page app with drag-and-drop
2. WebSocket server with room management
3. Optimistic UI updates with rollback
4. Responsive CSS layout
5. System architecture document</t>
        </is>
      </c>
      <c r="K69" s="3" t="inlineStr">
        <is>
          <t>https://classroom.google.com/c/submissions/stu-050_task-fswd-202</t>
        </is>
      </c>
      <c r="L69" s="3" t="inlineStr">
        <is>
          <t>Corrections Required</t>
        </is>
      </c>
      <c r="M69" s="3" t="inlineStr">
        <is>
          <t>Sent</t>
        </is>
      </c>
    </row>
    <row r="70">
      <c r="A70" s="2" t="inlineStr">
        <is>
          <t>TASK-AIML-101</t>
        </is>
      </c>
      <c r="B70" s="2" t="inlineStr">
        <is>
          <t>Customer Churn Prediction Pipeline with Scikit-Learn &amp; FastAPI</t>
        </is>
      </c>
      <c r="C70" s="2" t="inlineStr">
        <is>
          <t>Build an end-to-end churn prediction model on telecom customer data. Preprocess tabular data, train Random Forest / XGBoost, evaluate ROC-AUC, and expose inference via a FastAPI REST endpoint with Dockerfile.</t>
        </is>
      </c>
      <c r="D70" s="2" t="inlineStr">
        <is>
          <t>STU-049</t>
        </is>
      </c>
      <c r="E70" s="2" t="inlineStr">
        <is>
          <t>Tom Sharma</t>
        </is>
      </c>
      <c r="F70" s="2" t="inlineStr">
        <is>
          <t>student049@example-interns.edu</t>
        </is>
      </c>
      <c r="G70" s="2" t="inlineStr">
        <is>
          <t>2026-09-12</t>
        </is>
      </c>
      <c r="H70" s="2" t="inlineStr">
        <is>
          <t>2026-09-22</t>
        </is>
      </c>
      <c r="I70" s="2" t="inlineStr">
        <is>
          <t>High</t>
        </is>
      </c>
      <c r="J70" s="2" t="inlineStr">
        <is>
          <t>1. Python model training script (train.py)
2. Serialized model artifact (.joblib)
3. FastAPI application (app.py) with /predict
4. Dockerfile &amp; requirements.txt
5. Model card &amp; validation report PDF</t>
        </is>
      </c>
      <c r="K70" s="2" t="inlineStr">
        <is>
          <t>https://classroom.google.com/c/submissions/stu-049_task-aiml-101</t>
        </is>
      </c>
      <c r="L70" s="2" t="inlineStr">
        <is>
          <t>Corrections Required</t>
        </is>
      </c>
      <c r="M70" s="2" t="inlineStr">
        <is>
          <t>Sent</t>
        </is>
      </c>
    </row>
    <row r="71">
      <c r="A71" s="3" t="inlineStr">
        <is>
          <t>TASK-CYBR-602</t>
        </is>
      </c>
      <c r="B71" s="3" t="inlineStr">
        <is>
          <t>SOC Intrusion Detection &amp; SIEM Log Correlation Engine</t>
        </is>
      </c>
      <c r="C71" s="3" t="inlineStr">
        <is>
          <t>Construct an automated log correlation parser that ingests syslog and web access logs, detects brute-force authentication attacks and lateral movement patterns, and generates automated incident response tickets.</t>
        </is>
      </c>
      <c r="D71" s="3" t="inlineStr">
        <is>
          <t>STU-048</t>
        </is>
      </c>
      <c r="E71" s="3" t="inlineStr">
        <is>
          <t>Sara Campbell</t>
        </is>
      </c>
      <c r="F71" s="3" t="inlineStr">
        <is>
          <t>student048@example-interns.edu</t>
        </is>
      </c>
      <c r="G71" s="3" t="inlineStr">
        <is>
          <t>2026-09-11</t>
        </is>
      </c>
      <c r="H71" s="3" t="inlineStr">
        <is>
          <t>2026-09-21</t>
        </is>
      </c>
      <c r="I71" s="3" t="inlineStr">
        <is>
          <t>High</t>
        </is>
      </c>
      <c r="J71" s="3" t="inlineStr">
        <is>
          <t>1. Log ingestion and parsing engine (regex/JSON)
2. Sigma-compatible detection rules
3. Alert correlation and threshold detector
4. Incident response triage playbook
5. Synthetic log test generator</t>
        </is>
      </c>
      <c r="K71" s="3" t="inlineStr">
        <is>
          <t>https://classroom.google.com/c/submissions/stu-048_task-cybr-602</t>
        </is>
      </c>
      <c r="L71" s="3" t="inlineStr">
        <is>
          <t>Corrections Required</t>
        </is>
      </c>
      <c r="M71" s="3" t="inlineStr">
        <is>
          <t>Sent</t>
        </is>
      </c>
    </row>
    <row r="72">
      <c r="A72" s="2" t="inlineStr">
        <is>
          <t>TASK-MOBL-501</t>
        </is>
      </c>
      <c r="B72" s="2" t="inlineStr">
        <is>
          <t>Cross-Platform Habit Tracker with Offline SQLite &amp; Push Alerts</t>
        </is>
      </c>
      <c r="C72" s="2" t="inlineStr">
        <is>
          <t>Build a cross-platform mobile application (React Native or Flutter) that allows users to track daily habits, streaks, and completion analytics. Implement local SQLite persistence with background push notification reminders.</t>
        </is>
      </c>
      <c r="D72" s="2" t="inlineStr">
        <is>
          <t>STU-047</t>
        </is>
      </c>
      <c r="E72" s="2" t="inlineStr">
        <is>
          <t>Rahul Baker</t>
        </is>
      </c>
      <c r="F72" s="2" t="inlineStr">
        <is>
          <t>student047@example-interns.edu</t>
        </is>
      </c>
      <c r="G72" s="2" t="inlineStr">
        <is>
          <t>2026-09-10</t>
        </is>
      </c>
      <c r="H72" s="2" t="inlineStr">
        <is>
          <t>2026-09-20</t>
        </is>
      </c>
      <c r="I72" s="2" t="inlineStr">
        <is>
          <t>Medium</t>
        </is>
      </c>
      <c r="J72" s="2" t="inlineStr">
        <is>
          <t>1. Mobile application source code
2. Local SQLite database schema and ORM layer
3. Scheduled local notification service
4. APK / test bundle
5. Architecture and state management breakdown</t>
        </is>
      </c>
      <c r="K72" s="2" t="inlineStr">
        <is>
          <t>https://classroom.google.com/c/submissions/stu-047_task-mobl-501</t>
        </is>
      </c>
      <c r="L72" s="2" t="inlineStr">
        <is>
          <t>Corrections Required</t>
        </is>
      </c>
      <c r="M72" s="2" t="inlineStr">
        <is>
          <t>Sent</t>
        </is>
      </c>
    </row>
    <row r="73">
      <c r="A73" s="3" t="inlineStr">
        <is>
          <t>TASK-DEVO-402</t>
        </is>
      </c>
      <c r="B73" s="3" t="inlineStr">
        <is>
          <t>Kubernetes Microservices Observability with Prometheus &amp; Grafana</t>
        </is>
      </c>
      <c r="C73" s="3" t="inlineStr">
        <is>
          <t>Deploy a 3-tier microservice onto Kubernetes (Minikube / k3s). Implement metric scraping with Prometheus, custom application dashboards in Grafana, and Slack/email Alertmanager rules for pod crash and latency spikes.</t>
        </is>
      </c>
      <c r="D73" s="3" t="inlineStr">
        <is>
          <t>STU-046</t>
        </is>
      </c>
      <c r="E73" s="3" t="inlineStr">
        <is>
          <t>Pooja Green</t>
        </is>
      </c>
      <c r="F73" s="3" t="inlineStr">
        <is>
          <t>student046@example-interns.edu</t>
        </is>
      </c>
      <c r="G73" s="3" t="inlineStr">
        <is>
          <t>2026-09-09</t>
        </is>
      </c>
      <c r="H73" s="3" t="inlineStr">
        <is>
          <t>2026-09-20</t>
        </is>
      </c>
      <c r="I73" s="3" t="inlineStr">
        <is>
          <t>High</t>
        </is>
      </c>
      <c r="J73" s="3" t="inlineStr">
        <is>
          <t>1. Kubernetes deployment and service manifests
2. Prometheus ServiceMonitor &amp; scrape configs
3. Exported Grafana dashboard JSON
4. Alertmanager rules YAML
5. Chaos testing documentation and proof of alerts</t>
        </is>
      </c>
      <c r="K73" s="3" t="inlineStr">
        <is>
          <t>https://classroom.google.com/c/submissions/stu-046_task-devo-402</t>
        </is>
      </c>
      <c r="L73" s="3" t="inlineStr">
        <is>
          <t>Corrections Required</t>
        </is>
      </c>
      <c r="M73" s="3" t="inlineStr">
        <is>
          <t>Sent</t>
        </is>
      </c>
    </row>
    <row r="74">
      <c r="A74" s="2" t="inlineStr">
        <is>
          <t>TASK-DATA-301</t>
        </is>
      </c>
      <c r="B74" s="2" t="inlineStr">
        <is>
          <t>Automated Multi-Source Retail Sales ETL &amp; KPI Dashboard</t>
        </is>
      </c>
      <c r="C74" s="2" t="inlineStr">
        <is>
          <t>Extract raw CSV and JSON transaction logs, clean nulls/outliers in Pandas, load into a star-schema database, and construct an interactive dashboard featuring MoM growth, cohort retention, and customer lifetime value.</t>
        </is>
      </c>
      <c r="D74" s="2" t="inlineStr">
        <is>
          <t>STU-045</t>
        </is>
      </c>
      <c r="E74" s="2" t="inlineStr">
        <is>
          <t>Oscar Nguyen</t>
        </is>
      </c>
      <c r="F74" s="2" t="inlineStr">
        <is>
          <t>student045@example-interns.edu</t>
        </is>
      </c>
      <c r="G74" s="2" t="inlineStr">
        <is>
          <t>2026-09-08</t>
        </is>
      </c>
      <c r="H74" s="2" t="inlineStr">
        <is>
          <t>2026-09-16</t>
        </is>
      </c>
      <c r="I74" s="2" t="inlineStr">
        <is>
          <t>Medium</t>
        </is>
      </c>
      <c r="J74" s="2" t="inlineStr">
        <is>
          <t>1. Automated ETL python script with logging
2. Cleaned dimensional data warehouse tables
3. Interactive dashboard (Streamlit / Dash)
4. Business insight briefing report (PDF/Markdown)
5. Data dictionary &amp; pipeline diagram</t>
        </is>
      </c>
      <c r="K74" s="2" t="inlineStr">
        <is>
          <t>https://classroom.google.com/c/submissions/stu-045_task-data-301</t>
        </is>
      </c>
      <c r="L74" s="2" t="inlineStr">
        <is>
          <t>Corrections Required</t>
        </is>
      </c>
      <c r="M74" s="2" t="inlineStr">
        <is>
          <t>Sent</t>
        </is>
      </c>
    </row>
    <row r="75">
      <c r="A75" s="3" t="inlineStr">
        <is>
          <t>TASK-FSWD-202</t>
        </is>
      </c>
      <c r="B75" s="3" t="inlineStr">
        <is>
          <t>Real-Time Collaboration Kanban Board with WebSockets</t>
        </is>
      </c>
      <c r="C75" s="3" t="inlineStr">
        <is>
          <t>Develop a multi-tenant Kanban board application where updates to columns, cards, and drag-and-drop actions are synchronized in real-time across connected browser clients using WebSockets.</t>
        </is>
      </c>
      <c r="D75" s="3" t="inlineStr">
        <is>
          <t>STU-044</t>
        </is>
      </c>
      <c r="E75" s="3" t="inlineStr">
        <is>
          <t>Nathan Wright</t>
        </is>
      </c>
      <c r="F75" s="3" t="inlineStr">
        <is>
          <t>student044@example-interns.edu</t>
        </is>
      </c>
      <c r="G75" s="3" t="inlineStr">
        <is>
          <t>2026-09-07</t>
        </is>
      </c>
      <c r="H75" s="3" t="inlineStr">
        <is>
          <t>2026-09-17</t>
        </is>
      </c>
      <c r="I75" s="3" t="inlineStr">
        <is>
          <t>Medium</t>
        </is>
      </c>
      <c r="J75" s="3" t="inlineStr">
        <is>
          <t>1. Frontend single page app with drag-and-drop
2. WebSocket server with room management
3. Optimistic UI updates with rollback
4. Responsive CSS layout
5. System architecture document</t>
        </is>
      </c>
      <c r="K75" s="3" t="inlineStr">
        <is>
          <t>https://classroom.google.com/c/submissions/stu-044_task-fswd-202</t>
        </is>
      </c>
      <c r="L75" s="3" t="inlineStr">
        <is>
          <t>Corrections Required</t>
        </is>
      </c>
      <c r="M75" s="3" t="inlineStr">
        <is>
          <t>Sent</t>
        </is>
      </c>
    </row>
    <row r="76">
      <c r="A76" s="2" t="inlineStr">
        <is>
          <t>TASK-AIML-101</t>
        </is>
      </c>
      <c r="B76" s="2" t="inlineStr">
        <is>
          <t>Customer Churn Prediction Pipeline with Scikit-Learn &amp; FastAPI</t>
        </is>
      </c>
      <c r="C76" s="2" t="inlineStr">
        <is>
          <t>Build an end-to-end churn prediction model on telecom customer data. Preprocess tabular data, train Random Forest / XGBoost, evaluate ROC-AUC, and expose inference via a FastAPI REST endpoint with Dockerfile.</t>
        </is>
      </c>
      <c r="D76" s="2" t="inlineStr">
        <is>
          <t>STU-043</t>
        </is>
      </c>
      <c r="E76" s="2" t="inlineStr">
        <is>
          <t>Mei Young</t>
        </is>
      </c>
      <c r="F76" s="2" t="inlineStr">
        <is>
          <t>student043@example-interns.edu</t>
        </is>
      </c>
      <c r="G76" s="2" t="inlineStr">
        <is>
          <t>2026-09-06</t>
        </is>
      </c>
      <c r="H76" s="2" t="inlineStr">
        <is>
          <t>2026-09-16</t>
        </is>
      </c>
      <c r="I76" s="2" t="inlineStr">
        <is>
          <t>High</t>
        </is>
      </c>
      <c r="J76" s="2" t="inlineStr">
        <is>
          <t>1. Python model training script (train.py)
2. Serialized model artifact (.joblib)
3. FastAPI application (app.py) with /predict
4. Dockerfile &amp; requirements.txt
5. Model card &amp; validation report PDF</t>
        </is>
      </c>
      <c r="K76" s="2" t="inlineStr">
        <is>
          <t>https://classroom.google.com/c/submissions/stu-043_task-aiml-101</t>
        </is>
      </c>
      <c r="L76" s="2" t="inlineStr">
        <is>
          <t>Corrections Required</t>
        </is>
      </c>
      <c r="M76" s="2" t="inlineStr">
        <is>
          <t>Sent</t>
        </is>
      </c>
    </row>
    <row r="77">
      <c r="A77" s="3" t="inlineStr">
        <is>
          <t>TASK-CYBR-602</t>
        </is>
      </c>
      <c r="B77" s="3" t="inlineStr">
        <is>
          <t>SOC Intrusion Detection &amp; SIEM Log Correlation Engine</t>
        </is>
      </c>
      <c r="C77" s="3" t="inlineStr">
        <is>
          <t>Construct an automated log correlation parser that ingests syslog and web access logs, detects brute-force authentication attacks and lateral movement patterns, and generates automated incident response tickets.</t>
        </is>
      </c>
      <c r="D77" s="3" t="inlineStr">
        <is>
          <t>STU-042</t>
        </is>
      </c>
      <c r="E77" s="3" t="inlineStr">
        <is>
          <t>Lucas Lewis</t>
        </is>
      </c>
      <c r="F77" s="3" t="inlineStr">
        <is>
          <t>student042@example-interns.edu</t>
        </is>
      </c>
      <c r="G77" s="3" t="inlineStr">
        <is>
          <t>2026-09-05</t>
        </is>
      </c>
      <c r="H77" s="3" t="inlineStr">
        <is>
          <t>2026-09-15</t>
        </is>
      </c>
      <c r="I77" s="3" t="inlineStr">
        <is>
          <t>High</t>
        </is>
      </c>
      <c r="J77" s="3" t="inlineStr">
        <is>
          <t>1. Log ingestion and parsing engine (regex/JSON)
2. Sigma-compatible detection rules
3. Alert correlation and threshold detector
4. Incident response triage playbook
5. Synthetic log test generator</t>
        </is>
      </c>
      <c r="K77" s="3" t="inlineStr">
        <is>
          <t>https://classroom.google.com/c/submissions/stu-042_task-cybr-602</t>
        </is>
      </c>
      <c r="L77" s="3" t="inlineStr">
        <is>
          <t>Corrections Required</t>
        </is>
      </c>
      <c r="M77" s="3" t="inlineStr">
        <is>
          <t>Sent</t>
        </is>
      </c>
    </row>
    <row r="78">
      <c r="A78" s="2" t="inlineStr">
        <is>
          <t>TASK-MOBL-501</t>
        </is>
      </c>
      <c r="B78" s="2" t="inlineStr">
        <is>
          <t>Cross-Platform Habit Tracker with Offline SQLite &amp; Push Alerts</t>
        </is>
      </c>
      <c r="C78" s="2" t="inlineStr">
        <is>
          <t>Build a cross-platform mobile application (React Native or Flutter) that allows users to track daily habits, streaks, and completion analytics. Implement local SQLite persistence with background push notification reminders.</t>
        </is>
      </c>
      <c r="D78" s="2" t="inlineStr">
        <is>
          <t>STU-041</t>
        </is>
      </c>
      <c r="E78" s="2" t="inlineStr">
        <is>
          <t>Kiran Sanchez</t>
        </is>
      </c>
      <c r="F78" s="2" t="inlineStr">
        <is>
          <t>student041@example-interns.edu</t>
        </is>
      </c>
      <c r="G78" s="2" t="inlineStr">
        <is>
          <t>2026-09-04</t>
        </is>
      </c>
      <c r="H78" s="2" t="inlineStr">
        <is>
          <t>2026-09-14</t>
        </is>
      </c>
      <c r="I78" s="2" t="inlineStr">
        <is>
          <t>Medium</t>
        </is>
      </c>
      <c r="J78" s="2" t="inlineStr">
        <is>
          <t>1. Mobile application source code
2. Local SQLite database schema and ORM layer
3. Scheduled local notification service
4. APK / test bundle
5. Architecture and state management breakdown</t>
        </is>
      </c>
      <c r="K78" s="2" t="inlineStr">
        <is>
          <t>https://classroom.google.com/c/submissions/stu-041_task-mobl-501</t>
        </is>
      </c>
      <c r="L78" s="2" t="inlineStr">
        <is>
          <t>Corrections Required</t>
        </is>
      </c>
      <c r="M78" s="2" t="inlineStr">
        <is>
          <t>Sent</t>
        </is>
      </c>
    </row>
    <row r="79">
      <c r="A79" s="3" t="inlineStr">
        <is>
          <t>TASK-DEVO-402</t>
        </is>
      </c>
      <c r="B79" s="3" t="inlineStr">
        <is>
          <t>Kubernetes Microservices Observability with Prometheus &amp; Grafana</t>
        </is>
      </c>
      <c r="C79" s="3" t="inlineStr">
        <is>
          <t>Deploy a 3-tier microservice onto Kubernetes (Minikube / k3s). Implement metric scraping with Prometheus, custom application dashboards in Grafana, and Slack/email Alertmanager rules for pod crash and latency spikes.</t>
        </is>
      </c>
      <c r="D79" s="3" t="inlineStr">
        <is>
          <t>STU-040</t>
        </is>
      </c>
      <c r="E79" s="3" t="inlineStr">
        <is>
          <t>Jack Thompson</t>
        </is>
      </c>
      <c r="F79" s="3" t="inlineStr">
        <is>
          <t>student040@example-interns.edu</t>
        </is>
      </c>
      <c r="G79" s="3" t="inlineStr">
        <is>
          <t>2026-09-03</t>
        </is>
      </c>
      <c r="H79" s="3" t="inlineStr">
        <is>
          <t>2026-09-14</t>
        </is>
      </c>
      <c r="I79" s="3" t="inlineStr">
        <is>
          <t>High</t>
        </is>
      </c>
      <c r="J79" s="3" t="inlineStr">
        <is>
          <t>1. Kubernetes deployment and service manifests
2. Prometheus ServiceMonitor &amp; scrape configs
3. Exported Grafana dashboard JSON
4. Alertmanager rules YAML
5. Chaos testing documentation and proof of alerts</t>
        </is>
      </c>
      <c r="K79" s="3" t="inlineStr">
        <is>
          <t>https://classroom.google.com/c/submissions/stu-040_task-devo-402</t>
        </is>
      </c>
      <c r="L79" s="3" t="inlineStr">
        <is>
          <t>Under Review</t>
        </is>
      </c>
      <c r="M79" s="3" t="inlineStr">
        <is>
          <t>Sent</t>
        </is>
      </c>
    </row>
    <row r="80">
      <c r="A80" s="2" t="inlineStr">
        <is>
          <t>TASK-DATA-301</t>
        </is>
      </c>
      <c r="B80" s="2" t="inlineStr">
        <is>
          <t>Automated Multi-Source Retail Sales ETL &amp; KPI Dashboard</t>
        </is>
      </c>
      <c r="C80" s="2" t="inlineStr">
        <is>
          <t>Extract raw CSV and JSON transaction logs, clean nulls/outliers in Pandas, load into a star-schema database, and construct an interactive dashboard featuring MoM growth, cohort retention, and customer lifetime value.</t>
        </is>
      </c>
      <c r="D80" s="2" t="inlineStr">
        <is>
          <t>STU-039</t>
        </is>
      </c>
      <c r="E80" s="2" t="inlineStr">
        <is>
          <t>Ines Martin</t>
        </is>
      </c>
      <c r="F80" s="2" t="inlineStr">
        <is>
          <t>student039@example-interns.edu</t>
        </is>
      </c>
      <c r="G80" s="2" t="inlineStr">
        <is>
          <t>2026-09-12</t>
        </is>
      </c>
      <c r="H80" s="2" t="inlineStr">
        <is>
          <t>2026-09-20</t>
        </is>
      </c>
      <c r="I80" s="2" t="inlineStr">
        <is>
          <t>Medium</t>
        </is>
      </c>
      <c r="J80" s="2" t="inlineStr">
        <is>
          <t>1. Automated ETL python script with logging
2. Cleaned dimensional data warehouse tables
3. Interactive dashboard (Streamlit / Dash)
4. Business insight briefing report (PDF/Markdown)
5. Data dictionary &amp; pipeline diagram</t>
        </is>
      </c>
      <c r="K80" s="2" t="inlineStr">
        <is>
          <t>https://classroom.google.com/c/submissions/stu-039_task-data-301</t>
        </is>
      </c>
      <c r="L80" s="2" t="inlineStr">
        <is>
          <t>Under Review</t>
        </is>
      </c>
      <c r="M80" s="2" t="inlineStr">
        <is>
          <t>Sent</t>
        </is>
      </c>
    </row>
    <row r="81">
      <c r="A81" s="3" t="inlineStr">
        <is>
          <t>TASK-FSWD-202</t>
        </is>
      </c>
      <c r="B81" s="3" t="inlineStr">
        <is>
          <t>Real-Time Collaboration Kanban Board with WebSockets</t>
        </is>
      </c>
      <c r="C81" s="3" t="inlineStr">
        <is>
          <t>Develop a multi-tenant Kanban board application where updates to columns, cards, and drag-and-drop actions are synchronized in real-time across connected browser clients using WebSockets.</t>
        </is>
      </c>
      <c r="D81" s="3" t="inlineStr">
        <is>
          <t>STU-038</t>
        </is>
      </c>
      <c r="E81" s="3" t="inlineStr">
        <is>
          <t>Henry Taylor</t>
        </is>
      </c>
      <c r="F81" s="3" t="inlineStr">
        <is>
          <t>student038@example-interns.edu</t>
        </is>
      </c>
      <c r="G81" s="3" t="inlineStr">
        <is>
          <t>2026-09-11</t>
        </is>
      </c>
      <c r="H81" s="3" t="inlineStr">
        <is>
          <t>2026-09-21</t>
        </is>
      </c>
      <c r="I81" s="3" t="inlineStr">
        <is>
          <t>Medium</t>
        </is>
      </c>
      <c r="J81" s="3" t="inlineStr">
        <is>
          <t>1. Frontend single page app with drag-and-drop
2. WebSocket server with room management
3. Optimistic UI updates with rollback
4. Responsive CSS layout
5. System architecture document</t>
        </is>
      </c>
      <c r="K81" s="3" t="inlineStr">
        <is>
          <t>https://classroom.google.com/c/submissions/stu-038_task-fswd-202</t>
        </is>
      </c>
      <c r="L81" s="3" t="inlineStr">
        <is>
          <t>Under Review</t>
        </is>
      </c>
      <c r="M81" s="3" t="inlineStr">
        <is>
          <t>Sent</t>
        </is>
      </c>
    </row>
    <row r="82">
      <c r="A82" s="2" t="inlineStr">
        <is>
          <t>TASK-AIML-101</t>
        </is>
      </c>
      <c r="B82" s="2" t="inlineStr">
        <is>
          <t>Customer Churn Prediction Pipeline with Scikit-Learn &amp; FastAPI</t>
        </is>
      </c>
      <c r="C82" s="2" t="inlineStr">
        <is>
          <t>Build an end-to-end churn prediction model on telecom customer data. Preprocess tabular data, train Random Forest / XGBoost, evaluate ROC-AUC, and expose inference via a FastAPI REST endpoint with Dockerfile.</t>
        </is>
      </c>
      <c r="D82" s="2" t="inlineStr">
        <is>
          <t>STU-037</t>
        </is>
      </c>
      <c r="E82" s="2" t="inlineStr">
        <is>
          <t>Gita Wilson</t>
        </is>
      </c>
      <c r="F82" s="2" t="inlineStr">
        <is>
          <t>student037@example-interns.edu</t>
        </is>
      </c>
      <c r="G82" s="2" t="inlineStr">
        <is>
          <t>2026-09-10</t>
        </is>
      </c>
      <c r="H82" s="2" t="inlineStr">
        <is>
          <t>2026-09-20</t>
        </is>
      </c>
      <c r="I82" s="2" t="inlineStr">
        <is>
          <t>High</t>
        </is>
      </c>
      <c r="J82" s="2" t="inlineStr">
        <is>
          <t>1. Python model training script (train.py)
2. Serialized model artifact (.joblib)
3. FastAPI application (app.py) with /predict
4. Dockerfile &amp; requirements.txt
5. Model card &amp; validation report PDF</t>
        </is>
      </c>
      <c r="K82" s="2" t="inlineStr">
        <is>
          <t>https://classroom.google.com/c/submissions/stu-037_task-aiml-101</t>
        </is>
      </c>
      <c r="L82" s="2" t="inlineStr">
        <is>
          <t>Under Review</t>
        </is>
      </c>
      <c r="M82" s="2" t="inlineStr">
        <is>
          <t>Sent</t>
        </is>
      </c>
    </row>
    <row r="83">
      <c r="A83" s="3" t="inlineStr">
        <is>
          <t>TASK-CYBR-602</t>
        </is>
      </c>
      <c r="B83" s="3" t="inlineStr">
        <is>
          <t>SOC Intrusion Detection &amp; SIEM Log Correlation Engine</t>
        </is>
      </c>
      <c r="C83" s="3" t="inlineStr">
        <is>
          <t>Construct an automated log correlation parser that ingests syslog and web access logs, detects brute-force authentication attacks and lateral movement patterns, and generates automated incident response tickets.</t>
        </is>
      </c>
      <c r="D83" s="3" t="inlineStr">
        <is>
          <t>STU-036</t>
        </is>
      </c>
      <c r="E83" s="3" t="inlineStr">
        <is>
          <t>Farhan Hernandez</t>
        </is>
      </c>
      <c r="F83" s="3" t="inlineStr">
        <is>
          <t>student036@example-interns.edu</t>
        </is>
      </c>
      <c r="G83" s="3" t="inlineStr">
        <is>
          <t>2026-09-09</t>
        </is>
      </c>
      <c r="H83" s="3" t="inlineStr">
        <is>
          <t>2026-09-19</t>
        </is>
      </c>
      <c r="I83" s="3" t="inlineStr">
        <is>
          <t>High</t>
        </is>
      </c>
      <c r="J83" s="3" t="inlineStr">
        <is>
          <t>1. Log ingestion and parsing engine (regex/JSON)
2. Sigma-compatible detection rules
3. Alert correlation and threshold detector
4. Incident response triage playbook
5. Synthetic log test generator</t>
        </is>
      </c>
      <c r="K83" s="3" t="inlineStr">
        <is>
          <t>https://classroom.google.com/c/submissions/stu-036_task-cybr-602</t>
        </is>
      </c>
      <c r="L83" s="3" t="inlineStr">
        <is>
          <t>Under Review</t>
        </is>
      </c>
      <c r="M83" s="3" t="inlineStr">
        <is>
          <t>Sent</t>
        </is>
      </c>
    </row>
    <row r="84">
      <c r="A84" s="2" t="inlineStr">
        <is>
          <t>TASK-MOBL-501</t>
        </is>
      </c>
      <c r="B84" s="2" t="inlineStr">
        <is>
          <t>Cross-Platform Habit Tracker with Offline SQLite &amp; Push Alerts</t>
        </is>
      </c>
      <c r="C84" s="2" t="inlineStr">
        <is>
          <t>Build a cross-platform mobile application (React Native or Flutter) that allows users to track daily habits, streaks, and completion analytics. Implement local SQLite persistence with background push notification reminders.</t>
        </is>
      </c>
      <c r="D84" s="2" t="inlineStr">
        <is>
          <t>STU-035</t>
        </is>
      </c>
      <c r="E84" s="2" t="inlineStr">
        <is>
          <t>Emma Davis</t>
        </is>
      </c>
      <c r="F84" s="2" t="inlineStr">
        <is>
          <t>student035@example-interns.edu</t>
        </is>
      </c>
      <c r="G84" s="2" t="inlineStr">
        <is>
          <t>2026-09-08</t>
        </is>
      </c>
      <c r="H84" s="2" t="inlineStr">
        <is>
          <t>2026-09-18</t>
        </is>
      </c>
      <c r="I84" s="2" t="inlineStr">
        <is>
          <t>Medium</t>
        </is>
      </c>
      <c r="J84" s="2" t="inlineStr">
        <is>
          <t>1. Mobile application source code
2. Local SQLite database schema and ORM layer
3. Scheduled local notification service
4. APK / test bundle
5. Architecture and state management breakdown</t>
        </is>
      </c>
      <c r="K84" s="2" t="inlineStr">
        <is>
          <t>https://classroom.google.com/c/submissions/stu-035_task-mobl-501</t>
        </is>
      </c>
      <c r="L84" s="2" t="inlineStr">
        <is>
          <t>Under Review</t>
        </is>
      </c>
      <c r="M84" s="2" t="inlineStr">
        <is>
          <t>Sent</t>
        </is>
      </c>
    </row>
    <row r="85">
      <c r="A85" s="3" t="inlineStr">
        <is>
          <t>TASK-DEVO-402</t>
        </is>
      </c>
      <c r="B85" s="3" t="inlineStr">
        <is>
          <t>Kubernetes Microservices Observability with Prometheus &amp; Grafana</t>
        </is>
      </c>
      <c r="C85" s="3" t="inlineStr">
        <is>
          <t>Deploy a 3-tier microservice onto Kubernetes (Minikube / k3s). Implement metric scraping with Prometheus, custom application dashboards in Grafana, and Slack/email Alertmanager rules for pod crash and latency spikes.</t>
        </is>
      </c>
      <c r="D85" s="3" t="inlineStr">
        <is>
          <t>STU-034</t>
        </is>
      </c>
      <c r="E85" s="3" t="inlineStr">
        <is>
          <t>Daniel Jones</t>
        </is>
      </c>
      <c r="F85" s="3" t="inlineStr">
        <is>
          <t>student034@example-interns.edu</t>
        </is>
      </c>
      <c r="G85" s="3" t="inlineStr">
        <is>
          <t>2026-09-07</t>
        </is>
      </c>
      <c r="H85" s="3" t="inlineStr">
        <is>
          <t>2026-09-18</t>
        </is>
      </c>
      <c r="I85" s="3" t="inlineStr">
        <is>
          <t>High</t>
        </is>
      </c>
      <c r="J85" s="3" t="inlineStr">
        <is>
          <t>1. Kubernetes deployment and service manifests
2. Prometheus ServiceMonitor &amp; scrape configs
3. Exported Grafana dashboard JSON
4. Alertmanager rules YAML
5. Chaos testing documentation and proof of alerts</t>
        </is>
      </c>
      <c r="K85" s="3" t="inlineStr">
        <is>
          <t>https://classroom.google.com/c/submissions/stu-034_task-devo-402</t>
        </is>
      </c>
      <c r="L85" s="3" t="inlineStr">
        <is>
          <t>Under Review</t>
        </is>
      </c>
      <c r="M85" s="3" t="inlineStr">
        <is>
          <t>Sent</t>
        </is>
      </c>
    </row>
    <row r="86">
      <c r="A86" s="2" t="inlineStr">
        <is>
          <t>TASK-DATA-301</t>
        </is>
      </c>
      <c r="B86" s="2" t="inlineStr">
        <is>
          <t>Automated Multi-Source Retail Sales ETL &amp; KPI Dashboard</t>
        </is>
      </c>
      <c r="C86" s="2" t="inlineStr">
        <is>
          <t>Extract raw CSV and JSON transaction logs, clean nulls/outliers in Pandas, load into a star-schema database, and construct an interactive dashboard featuring MoM growth, cohort retention, and customer lifetime value.</t>
        </is>
      </c>
      <c r="D86" s="2" t="inlineStr">
        <is>
          <t>STU-033</t>
        </is>
      </c>
      <c r="E86" s="2" t="inlineStr">
        <is>
          <t>Camila Johnson</t>
        </is>
      </c>
      <c r="F86" s="2" t="inlineStr">
        <is>
          <t>student033@example-interns.edu</t>
        </is>
      </c>
      <c r="G86" s="2" t="inlineStr">
        <is>
          <t>2026-09-06</t>
        </is>
      </c>
      <c r="H86" s="2" t="inlineStr">
        <is>
          <t>2026-09-14</t>
        </is>
      </c>
      <c r="I86" s="2" t="inlineStr">
        <is>
          <t>Medium</t>
        </is>
      </c>
      <c r="J86" s="2" t="inlineStr">
        <is>
          <t>1. Automated ETL python script with logging
2. Cleaned dimensional data warehouse tables
3. Interactive dashboard (Streamlit / Dash)
4. Business insight briefing report (PDF/Markdown)
5. Data dictionary &amp; pipeline diagram</t>
        </is>
      </c>
      <c r="K86" s="2" t="inlineStr">
        <is>
          <t>https://classroom.google.com/c/submissions/stu-033_task-data-301</t>
        </is>
      </c>
      <c r="L86" s="2" t="inlineStr">
        <is>
          <t>Under Review</t>
        </is>
      </c>
      <c r="M86" s="2" t="inlineStr">
        <is>
          <t>Sent</t>
        </is>
      </c>
    </row>
    <row r="87">
      <c r="A87" s="3" t="inlineStr">
        <is>
          <t>TASK-FSWD-202</t>
        </is>
      </c>
      <c r="B87" s="3" t="inlineStr">
        <is>
          <t>Real-Time Collaboration Kanban Board with WebSockets</t>
        </is>
      </c>
      <c r="C87" s="3" t="inlineStr">
        <is>
          <t>Develop a multi-tenant Kanban board application where updates to columns, cards, and drag-and-drop actions are synchronized in real-time across connected browser clients using WebSockets.</t>
        </is>
      </c>
      <c r="D87" s="3" t="inlineStr">
        <is>
          <t>STU-032</t>
        </is>
      </c>
      <c r="E87" s="3" t="inlineStr">
        <is>
          <t>Brian Patel</t>
        </is>
      </c>
      <c r="F87" s="3" t="inlineStr">
        <is>
          <t>student032@example-interns.edu</t>
        </is>
      </c>
      <c r="G87" s="3" t="inlineStr">
        <is>
          <t>2026-09-05</t>
        </is>
      </c>
      <c r="H87" s="3" t="inlineStr">
        <is>
          <t>2026-09-15</t>
        </is>
      </c>
      <c r="I87" s="3" t="inlineStr">
        <is>
          <t>Medium</t>
        </is>
      </c>
      <c r="J87" s="3" t="inlineStr">
        <is>
          <t>1. Frontend single page app with drag-and-drop
2. WebSocket server with room management
3. Optimistic UI updates with rollback
4. Responsive CSS layout
5. System architecture document</t>
        </is>
      </c>
      <c r="K87" s="3" t="inlineStr">
        <is>
          <t>https://classroom.google.com/c/submissions/stu-032_task-fswd-202</t>
        </is>
      </c>
      <c r="L87" s="3" t="inlineStr">
        <is>
          <t>Under Review</t>
        </is>
      </c>
      <c r="M87" s="3" t="inlineStr">
        <is>
          <t>Sent</t>
        </is>
      </c>
    </row>
    <row r="88">
      <c r="A88" s="2" t="inlineStr">
        <is>
          <t>TASK-AIML-101</t>
        </is>
      </c>
      <c r="B88" s="2" t="inlineStr">
        <is>
          <t>Customer Churn Prediction Pipeline with Scikit-Learn &amp; FastAPI</t>
        </is>
      </c>
      <c r="C88" s="2" t="inlineStr">
        <is>
          <t>Build an end-to-end churn prediction model on telecom customer data. Preprocess tabular data, train Random Forest / XGBoost, evaluate ROC-AUC, and expose inference via a FastAPI REST endpoint with Dockerfile.</t>
        </is>
      </c>
      <c r="D88" s="2" t="inlineStr">
        <is>
          <t>STU-031</t>
        </is>
      </c>
      <c r="E88" s="2" t="inlineStr">
        <is>
          <t>Ananya Rivera</t>
        </is>
      </c>
      <c r="F88" s="2" t="inlineStr">
        <is>
          <t>student031@example-interns.edu</t>
        </is>
      </c>
      <c r="G88" s="2" t="inlineStr">
        <is>
          <t>2026-09-04</t>
        </is>
      </c>
      <c r="H88" s="2" t="inlineStr">
        <is>
          <t>2026-09-14</t>
        </is>
      </c>
      <c r="I88" s="2" t="inlineStr">
        <is>
          <t>High</t>
        </is>
      </c>
      <c r="J88" s="2" t="inlineStr">
        <is>
          <t>1. Python model training script (train.py)
2. Serialized model artifact (.joblib)
3. FastAPI application (app.py) with /predict
4. Dockerfile &amp; requirements.txt
5. Model card &amp; validation report PDF</t>
        </is>
      </c>
      <c r="K88" s="2" t="inlineStr">
        <is>
          <t>https://classroom.google.com/c/submissions/stu-031_task-aiml-101</t>
        </is>
      </c>
      <c r="L88" s="2" t="inlineStr">
        <is>
          <t>Under Review</t>
        </is>
      </c>
      <c r="M88" s="2" t="inlineStr">
        <is>
          <t>Sent</t>
        </is>
      </c>
    </row>
    <row r="89">
      <c r="A89" s="3" t="inlineStr">
        <is>
          <t>TASK-CYBR-602</t>
        </is>
      </c>
      <c r="B89" s="3" t="inlineStr">
        <is>
          <t>SOC Intrusion Detection &amp; SIEM Log Correlation Engine</t>
        </is>
      </c>
      <c r="C89" s="3" t="inlineStr">
        <is>
          <t>Construct an automated log correlation parser that ingests syslog and web access logs, detects brute-force authentication attacks and lateral movement patterns, and generates automated incident response tickets.</t>
        </is>
      </c>
      <c r="D89" s="3" t="inlineStr">
        <is>
          <t>STU-030</t>
        </is>
      </c>
      <c r="E89" s="3" t="inlineStr">
        <is>
          <t>Zara Nelson</t>
        </is>
      </c>
      <c r="F89" s="3" t="inlineStr">
        <is>
          <t>student030@example-interns.edu</t>
        </is>
      </c>
      <c r="G89" s="3" t="inlineStr">
        <is>
          <t>2026-09-03</t>
        </is>
      </c>
      <c r="H89" s="3" t="inlineStr">
        <is>
          <t>2026-09-13</t>
        </is>
      </c>
      <c r="I89" s="3" t="inlineStr">
        <is>
          <t>High</t>
        </is>
      </c>
      <c r="J89" s="3" t="inlineStr">
        <is>
          <t>1. Log ingestion and parsing engine (regex/JSON)
2. Sigma-compatible detection rules
3. Alert correlation and threshold detector
4. Incident response triage playbook
5. Synthetic log test generator</t>
        </is>
      </c>
      <c r="K89" s="3" t="inlineStr">
        <is>
          <t>https://classroom.google.com/c/submissions/stu-030_task-cybr-602</t>
        </is>
      </c>
      <c r="L89" s="3" t="inlineStr">
        <is>
          <t>Under Review</t>
        </is>
      </c>
      <c r="M89" s="3" t="inlineStr">
        <is>
          <t>Sent</t>
        </is>
      </c>
    </row>
    <row r="90">
      <c r="A90" s="2" t="inlineStr">
        <is>
          <t>TASK-MOBL-501</t>
        </is>
      </c>
      <c r="B90" s="2" t="inlineStr">
        <is>
          <t>Cross-Platform Habit Tracker with Offline SQLite &amp; Push Alerts</t>
        </is>
      </c>
      <c r="C90" s="2" t="inlineStr">
        <is>
          <t>Build a cross-platform mobile application (React Native or Flutter) that allows users to track daily habits, streaks, and completion analytics. Implement local SQLite persistence with background push notification reminders.</t>
        </is>
      </c>
      <c r="D90" s="2" t="inlineStr">
        <is>
          <t>STU-029</t>
        </is>
      </c>
      <c r="E90" s="2" t="inlineStr">
        <is>
          <t>Wei Flores</t>
        </is>
      </c>
      <c r="F90" s="2" t="inlineStr">
        <is>
          <t>student029@example-interns.edu</t>
        </is>
      </c>
      <c r="G90" s="2" t="inlineStr">
        <is>
          <t>2026-09-12</t>
        </is>
      </c>
      <c r="H90" s="2" t="inlineStr">
        <is>
          <t>2026-09-22</t>
        </is>
      </c>
      <c r="I90" s="2" t="inlineStr">
        <is>
          <t>Medium</t>
        </is>
      </c>
      <c r="J90" s="2" t="inlineStr">
        <is>
          <t>1. Mobile application source code
2. Local SQLite database schema and ORM layer
3. Scheduled local notification service
4. APK / test bundle
5. Architecture and state management breakdown</t>
        </is>
      </c>
      <c r="K90" s="2" t="inlineStr">
        <is>
          <t>https://classroom.google.com/c/submissions/stu-029_task-mobl-501</t>
        </is>
      </c>
      <c r="L90" s="2" t="inlineStr">
        <is>
          <t>Under Review</t>
        </is>
      </c>
      <c r="M90" s="2" t="inlineStr">
        <is>
          <t>Sent</t>
        </is>
      </c>
    </row>
    <row r="91">
      <c r="A91" s="3" t="inlineStr">
        <is>
          <t>TASK-DEVO-402</t>
        </is>
      </c>
      <c r="B91" s="3" t="inlineStr">
        <is>
          <t>Kubernetes Microservices Observability with Prometheus &amp; Grafana</t>
        </is>
      </c>
      <c r="C91" s="3" t="inlineStr">
        <is>
          <t>Deploy a 3-tier microservice onto Kubernetes (Minikube / k3s). Implement metric scraping with Prometheus, custom application dashboards in Grafana, and Slack/email Alertmanager rules for pod crash and latency spikes.</t>
        </is>
      </c>
      <c r="D91" s="3" t="inlineStr">
        <is>
          <t>STU-028</t>
        </is>
      </c>
      <c r="E91" s="3" t="inlineStr">
        <is>
          <t>Victor Torres</t>
        </is>
      </c>
      <c r="F91" s="3" t="inlineStr">
        <is>
          <t>student028@example-interns.edu</t>
        </is>
      </c>
      <c r="G91" s="3" t="inlineStr">
        <is>
          <t>2026-09-11</t>
        </is>
      </c>
      <c r="H91" s="3" t="inlineStr">
        <is>
          <t>2026-09-22</t>
        </is>
      </c>
      <c r="I91" s="3" t="inlineStr">
        <is>
          <t>High</t>
        </is>
      </c>
      <c r="J91" s="3" t="inlineStr">
        <is>
          <t>1. Kubernetes deployment and service manifests
2. Prometheus ServiceMonitor &amp; scrape configs
3. Exported Grafana dashboard JSON
4. Alertmanager rules YAML
5. Chaos testing documentation and proof of alerts</t>
        </is>
      </c>
      <c r="K91" s="3" t="inlineStr">
        <is>
          <t>https://classroom.google.com/c/submissions/stu-028_task-devo-402</t>
        </is>
      </c>
      <c r="L91" s="3" t="inlineStr">
        <is>
          <t>Under Review</t>
        </is>
      </c>
      <c r="M91" s="3" t="inlineStr">
        <is>
          <t>Sent</t>
        </is>
      </c>
    </row>
    <row r="92">
      <c r="A92" s="2" t="inlineStr">
        <is>
          <t>TASK-DATA-301</t>
        </is>
      </c>
      <c r="B92" s="2" t="inlineStr">
        <is>
          <t>Automated Multi-Source Retail Sales ETL &amp; KPI Dashboard</t>
        </is>
      </c>
      <c r="C92" s="2" t="inlineStr">
        <is>
          <t>Extract raw CSV and JSON transaction logs, clean nulls/outliers in Pandas, load into a star-schema database, and construct an interactive dashboard featuring MoM growth, cohort retention, and customer lifetime value.</t>
        </is>
      </c>
      <c r="D92" s="2" t="inlineStr">
        <is>
          <t>STU-027</t>
        </is>
      </c>
      <c r="E92" s="2" t="inlineStr">
        <is>
          <t>Uma King</t>
        </is>
      </c>
      <c r="F92" s="2" t="inlineStr">
        <is>
          <t>student027@example-interns.edu</t>
        </is>
      </c>
      <c r="G92" s="2" t="inlineStr">
        <is>
          <t>2026-09-10</t>
        </is>
      </c>
      <c r="H92" s="2" t="inlineStr">
        <is>
          <t>2026-09-18</t>
        </is>
      </c>
      <c r="I92" s="2" t="inlineStr">
        <is>
          <t>Medium</t>
        </is>
      </c>
      <c r="J92" s="2" t="inlineStr">
        <is>
          <t>1. Automated ETL python script with logging
2. Cleaned dimensional data warehouse tables
3. Interactive dashboard (Streamlit / Dash)
4. Business insight briefing report (PDF/Markdown)
5. Data dictionary &amp; pipeline diagram</t>
        </is>
      </c>
      <c r="K92" s="2" t="inlineStr">
        <is>
          <t>https://classroom.google.com/c/submissions/stu-027_task-data-301</t>
        </is>
      </c>
      <c r="L92" s="2" t="inlineStr">
        <is>
          <t>Under Review</t>
        </is>
      </c>
      <c r="M92" s="2" t="inlineStr">
        <is>
          <t>Sent</t>
        </is>
      </c>
    </row>
    <row r="93">
      <c r="A93" s="3" t="inlineStr">
        <is>
          <t>TASK-FSWD-202</t>
        </is>
      </c>
      <c r="B93" s="3" t="inlineStr">
        <is>
          <t>Real-Time Collaboration Kanban Board with WebSockets</t>
        </is>
      </c>
      <c r="C93" s="3" t="inlineStr">
        <is>
          <t>Develop a multi-tenant Kanban board application where updates to columns, cards, and drag-and-drop actions are synchronized in real-time across connected browser clients using WebSockets.</t>
        </is>
      </c>
      <c r="D93" s="3" t="inlineStr">
        <is>
          <t>STU-026</t>
        </is>
      </c>
      <c r="E93" s="3" t="inlineStr">
        <is>
          <t>Tariq Walker</t>
        </is>
      </c>
      <c r="F93" s="3" t="inlineStr">
        <is>
          <t>student026@example-interns.edu</t>
        </is>
      </c>
      <c r="G93" s="3" t="inlineStr">
        <is>
          <t>2026-09-09</t>
        </is>
      </c>
      <c r="H93" s="3" t="inlineStr">
        <is>
          <t>2026-09-19</t>
        </is>
      </c>
      <c r="I93" s="3" t="inlineStr">
        <is>
          <t>Medium</t>
        </is>
      </c>
      <c r="J93" s="3" t="inlineStr">
        <is>
          <t>1. Frontend single page app with drag-and-drop
2. WebSocket server with room management
3. Optimistic UI updates with rollback
4. Responsive CSS layout
5. System architecture document</t>
        </is>
      </c>
      <c r="K93" s="3" t="inlineStr">
        <is>
          <t>https://classroom.google.com/c/submissions/stu-026_task-fswd-202</t>
        </is>
      </c>
      <c r="L93" s="3" t="inlineStr">
        <is>
          <t>Under Review</t>
        </is>
      </c>
      <c r="M93" s="3" t="inlineStr">
        <is>
          <t>Sent</t>
        </is>
      </c>
    </row>
    <row r="94">
      <c r="A94" s="2" t="inlineStr">
        <is>
          <t>TASK-AIML-101</t>
        </is>
      </c>
      <c r="B94" s="2" t="inlineStr">
        <is>
          <t>Customer Churn Prediction Pipeline with Scikit-Learn &amp; FastAPI</t>
        </is>
      </c>
      <c r="C94" s="2" t="inlineStr">
        <is>
          <t>Build an end-to-end churn prediction model on telecom customer data. Preprocess tabular data, train Random Forest / XGBoost, evaluate ROC-AUC, and expose inference via a FastAPI REST endpoint with Dockerfile.</t>
        </is>
      </c>
      <c r="D94" s="2" t="inlineStr">
        <is>
          <t>STU-025</t>
        </is>
      </c>
      <c r="E94" s="2" t="inlineStr">
        <is>
          <t>Sophia Ramirez</t>
        </is>
      </c>
      <c r="F94" s="2" t="inlineStr">
        <is>
          <t>student025@example-interns.edu</t>
        </is>
      </c>
      <c r="G94" s="2" t="inlineStr">
        <is>
          <t>2026-09-08</t>
        </is>
      </c>
      <c r="H94" s="2" t="inlineStr">
        <is>
          <t>2026-09-18</t>
        </is>
      </c>
      <c r="I94" s="2" t="inlineStr">
        <is>
          <t>High</t>
        </is>
      </c>
      <c r="J94" s="2" t="inlineStr">
        <is>
          <t>1. Python model training script (train.py)
2. Serialized model artifact (.joblib)
3. FastAPI application (app.py) with /predict
4. Dockerfile &amp; requirements.txt
5. Model card &amp; validation report PDF</t>
        </is>
      </c>
      <c r="K94" s="2" t="inlineStr">
        <is>
          <t>https://classroom.google.com/c/submissions/stu-025_task-aiml-101</t>
        </is>
      </c>
      <c r="L94" s="2" t="inlineStr">
        <is>
          <t>Under Review</t>
        </is>
      </c>
      <c r="M94" s="2" t="inlineStr">
        <is>
          <t>Sent</t>
        </is>
      </c>
    </row>
    <row r="95">
      <c r="A95" s="3" t="inlineStr">
        <is>
          <t>TASK-CYBR-602</t>
        </is>
      </c>
      <c r="B95" s="3" t="inlineStr">
        <is>
          <t>SOC Intrusion Detection &amp; SIEM Log Correlation Engine</t>
        </is>
      </c>
      <c r="C95" s="3" t="inlineStr">
        <is>
          <t>Construct an automated log correlation parser that ingests syslog and web access logs, detects brute-force authentication attacks and lateral movement patterns, and generates automated incident response tickets.</t>
        </is>
      </c>
      <c r="D95" s="3" t="inlineStr">
        <is>
          <t>STU-024</t>
        </is>
      </c>
      <c r="E95" s="3" t="inlineStr">
        <is>
          <t>Rohan Harris</t>
        </is>
      </c>
      <c r="F95" s="3" t="inlineStr">
        <is>
          <t>student024@example-interns.edu</t>
        </is>
      </c>
      <c r="G95" s="3" t="inlineStr">
        <is>
          <t>2026-09-07</t>
        </is>
      </c>
      <c r="H95" s="3" t="inlineStr">
        <is>
          <t>2026-09-17</t>
        </is>
      </c>
      <c r="I95" s="3" t="inlineStr">
        <is>
          <t>High</t>
        </is>
      </c>
      <c r="J95" s="3" t="inlineStr">
        <is>
          <t>1. Log ingestion and parsing engine (regex/JSON)
2. Sigma-compatible detection rules
3. Alert correlation and threshold detector
4. Incident response triage playbook
5. Synthetic log test generator</t>
        </is>
      </c>
      <c r="K95" s="3" t="inlineStr">
        <is>
          <t>https://classroom.google.com/c/submissions/stu-024_task-cybr-602</t>
        </is>
      </c>
      <c r="L95" s="3" t="inlineStr">
        <is>
          <t>Under Review</t>
        </is>
      </c>
      <c r="M95" s="3" t="inlineStr">
        <is>
          <t>Sent</t>
        </is>
      </c>
    </row>
    <row r="96">
      <c r="A96" s="2" t="inlineStr">
        <is>
          <t>TASK-MOBL-501</t>
        </is>
      </c>
      <c r="B96" s="2" t="inlineStr">
        <is>
          <t>Cross-Platform Habit Tracker with Offline SQLite &amp; Push Alerts</t>
        </is>
      </c>
      <c r="C96" s="2" t="inlineStr">
        <is>
          <t>Build a cross-platform mobile application (React Native or Flutter) that allows users to track daily habits, streaks, and completion analytics. Implement local SQLite persistence with background push notification reminders.</t>
        </is>
      </c>
      <c r="D96" s="2" t="inlineStr">
        <is>
          <t>STU-023</t>
        </is>
      </c>
      <c r="E96" s="2" t="inlineStr">
        <is>
          <t>Quentin Perez</t>
        </is>
      </c>
      <c r="F96" s="2" t="inlineStr">
        <is>
          <t>student023@example-interns.edu</t>
        </is>
      </c>
      <c r="G96" s="2" t="inlineStr">
        <is>
          <t>2026-09-06</t>
        </is>
      </c>
      <c r="H96" s="2" t="inlineStr">
        <is>
          <t>2026-09-16</t>
        </is>
      </c>
      <c r="I96" s="2" t="inlineStr">
        <is>
          <t>Medium</t>
        </is>
      </c>
      <c r="J96" s="2" t="inlineStr">
        <is>
          <t>1. Mobile application source code
2. Local SQLite database schema and ORM layer
3. Scheduled local notification service
4. APK / test bundle
5. Architecture and state management breakdown</t>
        </is>
      </c>
      <c r="K96" s="2" t="inlineStr">
        <is>
          <t>https://classroom.google.com/c/submissions/stu-023_task-mobl-501</t>
        </is>
      </c>
      <c r="L96" s="2" t="inlineStr">
        <is>
          <t>Under Review</t>
        </is>
      </c>
      <c r="M96" s="2" t="inlineStr">
        <is>
          <t>Sent</t>
        </is>
      </c>
    </row>
    <row r="97">
      <c r="A97" s="3" t="inlineStr">
        <is>
          <t>TASK-DEVO-402</t>
        </is>
      </c>
      <c r="B97" s="3" t="inlineStr">
        <is>
          <t>Kubernetes Microservices Observability with Prometheus &amp; Grafana</t>
        </is>
      </c>
      <c r="C97" s="3" t="inlineStr">
        <is>
          <t>Deploy a 3-tier microservice onto Kubernetes (Minikube / k3s). Implement metric scraping with Prometheus, custom application dashboards in Grafana, and Slack/email Alertmanager rules for pod crash and latency spikes.</t>
        </is>
      </c>
      <c r="D97" s="3" t="inlineStr">
        <is>
          <t>STU-022</t>
        </is>
      </c>
      <c r="E97" s="3" t="inlineStr">
        <is>
          <t>Priya Jackson</t>
        </is>
      </c>
      <c r="F97" s="3" t="inlineStr">
        <is>
          <t>student022@example-interns.edu</t>
        </is>
      </c>
      <c r="G97" s="3" t="inlineStr">
        <is>
          <t>2026-09-05</t>
        </is>
      </c>
      <c r="H97" s="3" t="inlineStr">
        <is>
          <t>2026-09-16</t>
        </is>
      </c>
      <c r="I97" s="3" t="inlineStr">
        <is>
          <t>High</t>
        </is>
      </c>
      <c r="J97" s="3" t="inlineStr">
        <is>
          <t>1. Kubernetes deployment and service manifests
2. Prometheus ServiceMonitor &amp; scrape configs
3. Exported Grafana dashboard JSON
4. Alertmanager rules YAML
5. Chaos testing documentation and proof of alerts</t>
        </is>
      </c>
      <c r="K97" s="3" t="inlineStr">
        <is>
          <t>https://classroom.google.com/c/submissions/stu-022_task-devo-402</t>
        </is>
      </c>
      <c r="L97" s="3" t="inlineStr">
        <is>
          <t>Under Review</t>
        </is>
      </c>
      <c r="M97" s="3" t="inlineStr">
        <is>
          <t>Sent</t>
        </is>
      </c>
    </row>
    <row r="98">
      <c r="A98" s="2" t="inlineStr">
        <is>
          <t>TASK-DATA-301</t>
        </is>
      </c>
      <c r="B98" s="2" t="inlineStr">
        <is>
          <t>Automated Multi-Source Retail Sales ETL &amp; KPI Dashboard</t>
        </is>
      </c>
      <c r="C98" s="2" t="inlineStr">
        <is>
          <t>Extract raw CSV and JSON transaction logs, clean nulls/outliers in Pandas, load into a star-schema database, and construct an interactive dashboard featuring MoM growth, cohort retention, and customer lifetime value.</t>
        </is>
      </c>
      <c r="D98" s="2" t="inlineStr">
        <is>
          <t>STU-021</t>
        </is>
      </c>
      <c r="E98" s="2" t="inlineStr">
        <is>
          <t>Olivia Thomas</t>
        </is>
      </c>
      <c r="F98" s="2" t="inlineStr">
        <is>
          <t>student021@example-interns.edu</t>
        </is>
      </c>
      <c r="G98" s="2" t="inlineStr">
        <is>
          <t>2026-09-04</t>
        </is>
      </c>
      <c r="H98" s="2" t="inlineStr">
        <is>
          <t>2026-09-12</t>
        </is>
      </c>
      <c r="I98" s="2" t="inlineStr">
        <is>
          <t>Medium</t>
        </is>
      </c>
      <c r="J98" s="2" t="inlineStr">
        <is>
          <t>1. Automated ETL python script with logging
2. Cleaned dimensional data warehouse tables
3. Interactive dashboard (Streamlit / Dash)
4. Business insight briefing report (PDF/Markdown)
5. Data dictionary &amp; pipeline diagram</t>
        </is>
      </c>
      <c r="K98" s="2" t="inlineStr">
        <is>
          <t>https://classroom.google.com/c/submissions/stu-021_task-data-301</t>
        </is>
      </c>
      <c r="L98" s="2" t="inlineStr">
        <is>
          <t>Under Review</t>
        </is>
      </c>
      <c r="M98" s="2" t="inlineStr">
        <is>
          <t>Sent</t>
        </is>
      </c>
    </row>
    <row r="99">
      <c r="A99" s="3" t="inlineStr">
        <is>
          <t>TASK-FSWD-202</t>
        </is>
      </c>
      <c r="B99" s="3" t="inlineStr">
        <is>
          <t>Real-Time Collaboration Kanban Board with WebSockets</t>
        </is>
      </c>
      <c r="C99" s="3" t="inlineStr">
        <is>
          <t>Develop a multi-tenant Kanban board application where updates to columns, cards, and drag-and-drop actions are synchronized in real-time across connected browser clients using WebSockets.</t>
        </is>
      </c>
      <c r="D99" s="3" t="inlineStr">
        <is>
          <t>STU-020</t>
        </is>
      </c>
      <c r="E99" s="3" t="inlineStr">
        <is>
          <t>Noah Gonzalez</t>
        </is>
      </c>
      <c r="F99" s="3" t="inlineStr">
        <is>
          <t>student020@example-interns.edu</t>
        </is>
      </c>
      <c r="G99" s="3" t="inlineStr">
        <is>
          <t>2026-09-03</t>
        </is>
      </c>
      <c r="H99" s="3" t="inlineStr">
        <is>
          <t>2026-09-13</t>
        </is>
      </c>
      <c r="I99" s="3" t="inlineStr">
        <is>
          <t>Medium</t>
        </is>
      </c>
      <c r="J99" s="3" t="inlineStr">
        <is>
          <t>1. Frontend single page app with drag-and-drop
2. WebSocket server with room management
3. Optimistic UI updates with rollback
4. Responsive CSS layout
5. System architecture document</t>
        </is>
      </c>
      <c r="K99" s="3" t="inlineStr">
        <is>
          <t>https://classroom.google.com/c/submissions/stu-020_task-fswd-202</t>
        </is>
      </c>
      <c r="L99" s="3" t="inlineStr">
        <is>
          <t>Approved</t>
        </is>
      </c>
      <c r="M99" s="3" t="inlineStr">
        <is>
          <t>Sent</t>
        </is>
      </c>
    </row>
    <row r="100">
      <c r="A100" s="2" t="inlineStr">
        <is>
          <t>TASK-AIML-101</t>
        </is>
      </c>
      <c r="B100" s="2" t="inlineStr">
        <is>
          <t>Customer Churn Prediction Pipeline with Scikit-Learn &amp; FastAPI</t>
        </is>
      </c>
      <c r="C100" s="2" t="inlineStr">
        <is>
          <t>Build an end-to-end churn prediction model on telecom customer data. Preprocess tabular data, train Random Forest / XGBoost, evaluate ROC-AUC, and expose inference via a FastAPI REST endpoint with Dockerfile.</t>
        </is>
      </c>
      <c r="D100" s="2" t="inlineStr">
        <is>
          <t>STU-019</t>
        </is>
      </c>
      <c r="E100" s="2" t="inlineStr">
        <is>
          <t>Maya Martinez</t>
        </is>
      </c>
      <c r="F100" s="2" t="inlineStr">
        <is>
          <t>student019@example-interns.edu</t>
        </is>
      </c>
      <c r="G100" s="2" t="inlineStr">
        <is>
          <t>2026-09-12</t>
        </is>
      </c>
      <c r="H100" s="2" t="inlineStr">
        <is>
          <t>2026-09-22</t>
        </is>
      </c>
      <c r="I100" s="2" t="inlineStr">
        <is>
          <t>High</t>
        </is>
      </c>
      <c r="J100" s="2" t="inlineStr">
        <is>
          <t>1. Python model training script (train.py)
2. Serialized model artifact (.joblib)
3. FastAPI application (app.py) with /predict
4. Dockerfile &amp; requirements.txt
5. Model card &amp; validation report PDF</t>
        </is>
      </c>
      <c r="K100" s="2" t="inlineStr">
        <is>
          <t>https://classroom.google.com/c/submissions/stu-019_task-aiml-101</t>
        </is>
      </c>
      <c r="L100" s="2" t="inlineStr">
        <is>
          <t>Approved</t>
        </is>
      </c>
      <c r="M100" s="2" t="inlineStr">
        <is>
          <t>Sent</t>
        </is>
      </c>
    </row>
    <row r="101">
      <c r="A101" s="3" t="inlineStr">
        <is>
          <t>TASK-CYBR-602</t>
        </is>
      </c>
      <c r="B101" s="3" t="inlineStr">
        <is>
          <t>SOC Intrusion Detection &amp; SIEM Log Correlation Engine</t>
        </is>
      </c>
      <c r="C101" s="3" t="inlineStr">
        <is>
          <t>Construct an automated log correlation parser that ingests syslog and web access logs, detects brute-force authentication attacks and lateral movement patterns, and generates automated incident response tickets.</t>
        </is>
      </c>
      <c r="D101" s="3" t="inlineStr">
        <is>
          <t>STU-018</t>
        </is>
      </c>
      <c r="E101" s="3" t="inlineStr">
        <is>
          <t>Liam Miller</t>
        </is>
      </c>
      <c r="F101" s="3" t="inlineStr">
        <is>
          <t>student018@example-interns.edu</t>
        </is>
      </c>
      <c r="G101" s="3" t="inlineStr">
        <is>
          <t>2026-09-11</t>
        </is>
      </c>
      <c r="H101" s="3" t="inlineStr">
        <is>
          <t>2026-09-21</t>
        </is>
      </c>
      <c r="I101" s="3" t="inlineStr">
        <is>
          <t>High</t>
        </is>
      </c>
      <c r="J101" s="3" t="inlineStr">
        <is>
          <t>1. Log ingestion and parsing engine (regex/JSON)
2. Sigma-compatible detection rules
3. Alert correlation and threshold detector
4. Incident response triage playbook
5. Synthetic log test generator</t>
        </is>
      </c>
      <c r="K101" s="3" t="inlineStr">
        <is>
          <t>https://classroom.google.com/c/submissions/stu-018_task-cybr-602</t>
        </is>
      </c>
      <c r="L101" s="3" t="inlineStr">
        <is>
          <t>Approved</t>
        </is>
      </c>
      <c r="M101" s="3" t="inlineStr">
        <is>
          <t>Sent</t>
        </is>
      </c>
    </row>
    <row r="102">
      <c r="A102" s="2" t="inlineStr">
        <is>
          <t>TASK-MOBL-501</t>
        </is>
      </c>
      <c r="B102" s="2" t="inlineStr">
        <is>
          <t>Cross-Platform Habit Tracker with Offline SQLite &amp; Push Alerts</t>
        </is>
      </c>
      <c r="C102" s="2" t="inlineStr">
        <is>
          <t>Build a cross-platform mobile application (React Native or Flutter) that allows users to track daily habits, streaks, and completion analytics. Implement local SQLite persistence with background push notification reminders.</t>
        </is>
      </c>
      <c r="D102" s="2" t="inlineStr">
        <is>
          <t>STU-017</t>
        </is>
      </c>
      <c r="E102" s="2" t="inlineStr">
        <is>
          <t>Kavya Brown</t>
        </is>
      </c>
      <c r="F102" s="2" t="inlineStr">
        <is>
          <t>student017@example-interns.edu</t>
        </is>
      </c>
      <c r="G102" s="2" t="inlineStr">
        <is>
          <t>2026-09-10</t>
        </is>
      </c>
      <c r="H102" s="2" t="inlineStr">
        <is>
          <t>2026-09-20</t>
        </is>
      </c>
      <c r="I102" s="2" t="inlineStr">
        <is>
          <t>Medium</t>
        </is>
      </c>
      <c r="J102" s="2" t="inlineStr">
        <is>
          <t>1. Mobile application source code
2. Local SQLite database schema and ORM layer
3. Scheduled local notification service
4. APK / test bundle
5. Architecture and state management breakdown</t>
        </is>
      </c>
      <c r="K102" s="2" t="inlineStr">
        <is>
          <t>https://classroom.google.com/c/submissions/stu-017_task-mobl-501</t>
        </is>
      </c>
      <c r="L102" s="2" t="inlineStr">
        <is>
          <t>Approved</t>
        </is>
      </c>
      <c r="M102" s="2" t="inlineStr">
        <is>
          <t>Sent</t>
        </is>
      </c>
    </row>
    <row r="103">
      <c r="A103" s="3" t="inlineStr">
        <is>
          <t>TASK-DEVO-402</t>
        </is>
      </c>
      <c r="B103" s="3" t="inlineStr">
        <is>
          <t>Kubernetes Microservices Observability with Prometheus &amp; Grafana</t>
        </is>
      </c>
      <c r="C103" s="3" t="inlineStr">
        <is>
          <t>Deploy a 3-tier microservice onto Kubernetes (Minikube / k3s). Implement metric scraping with Prometheus, custom application dashboards in Grafana, and Slack/email Alertmanager rules for pod crash and latency spikes.</t>
        </is>
      </c>
      <c r="D103" s="3" t="inlineStr">
        <is>
          <t>STU-016</t>
        </is>
      </c>
      <c r="E103" s="3" t="inlineStr">
        <is>
          <t>Jia Smith</t>
        </is>
      </c>
      <c r="F103" s="3" t="inlineStr">
        <is>
          <t>student016@example-interns.edu</t>
        </is>
      </c>
      <c r="G103" s="3" t="inlineStr">
        <is>
          <t>2026-09-09</t>
        </is>
      </c>
      <c r="H103" s="3" t="inlineStr">
        <is>
          <t>2026-09-20</t>
        </is>
      </c>
      <c r="I103" s="3" t="inlineStr">
        <is>
          <t>High</t>
        </is>
      </c>
      <c r="J103" s="3" t="inlineStr">
        <is>
          <t>1. Kubernetes deployment and service manifests
2. Prometheus ServiceMonitor &amp; scrape configs
3. Exported Grafana dashboard JSON
4. Alertmanager rules YAML
5. Chaos testing documentation and proof of alerts</t>
        </is>
      </c>
      <c r="K103" s="3" t="inlineStr">
        <is>
          <t>https://classroom.google.com/c/submissions/stu-016_task-devo-402</t>
        </is>
      </c>
      <c r="L103" s="3" t="inlineStr">
        <is>
          <t>Approved</t>
        </is>
      </c>
      <c r="M103" s="3" t="inlineStr">
        <is>
          <t>Sent</t>
        </is>
      </c>
    </row>
    <row r="104">
      <c r="A104" s="2" t="inlineStr">
        <is>
          <t>TASK-DATA-301</t>
        </is>
      </c>
      <c r="B104" s="2" t="inlineStr">
        <is>
          <t>Automated Multi-Source Retail Sales ETL &amp; KPI Dashboard</t>
        </is>
      </c>
      <c r="C104" s="2" t="inlineStr">
        <is>
          <t>Extract raw CSV and JSON transaction logs, clean nulls/outliers in Pandas, load into a star-schema database, and construct an interactive dashboard featuring MoM growth, cohort retention, and customer lifetime value.</t>
        </is>
      </c>
      <c r="D104" s="2" t="inlineStr">
        <is>
          <t>STU-015</t>
        </is>
      </c>
      <c r="E104" s="2" t="inlineStr">
        <is>
          <t>James Mitchell</t>
        </is>
      </c>
      <c r="F104" s="2" t="inlineStr">
        <is>
          <t>student015@example-interns.edu</t>
        </is>
      </c>
      <c r="G104" s="2" t="inlineStr">
        <is>
          <t>2026-09-08</t>
        </is>
      </c>
      <c r="H104" s="2" t="inlineStr">
        <is>
          <t>2026-09-16</t>
        </is>
      </c>
      <c r="I104" s="2" t="inlineStr">
        <is>
          <t>Medium</t>
        </is>
      </c>
      <c r="J104" s="2" t="inlineStr">
        <is>
          <t>1. Automated ETL python script with logging
2. Cleaned dimensional data warehouse tables
3. Interactive dashboard (Streamlit / Dash)
4. Business insight briefing report (PDF/Markdown)
5. Data dictionary &amp; pipeline diagram</t>
        </is>
      </c>
      <c r="K104" s="2" t="inlineStr">
        <is>
          <t>https://classroom.google.com/c/submissions/stu-015_task-data-301</t>
        </is>
      </c>
      <c r="L104" s="2" t="inlineStr">
        <is>
          <t>Approved</t>
        </is>
      </c>
      <c r="M104" s="2" t="inlineStr">
        <is>
          <t>Sent</t>
        </is>
      </c>
    </row>
    <row r="105">
      <c r="A105" s="3" t="inlineStr">
        <is>
          <t>TASK-FSWD-202</t>
        </is>
      </c>
      <c r="B105" s="3" t="inlineStr">
        <is>
          <t>Real-Time Collaboration Kanban Board with WebSockets</t>
        </is>
      </c>
      <c r="C105" s="3" t="inlineStr">
        <is>
          <t>Develop a multi-tenant Kanban board application where updates to columns, cards, and drag-and-drop actions are synchronized in real-time across connected browser clients using WebSockets.</t>
        </is>
      </c>
      <c r="D105" s="3" t="inlineStr">
        <is>
          <t>STU-014</t>
        </is>
      </c>
      <c r="E105" s="3" t="inlineStr">
        <is>
          <t>Isabella Hall</t>
        </is>
      </c>
      <c r="F105" s="3" t="inlineStr">
        <is>
          <t>student014@example-interns.edu</t>
        </is>
      </c>
      <c r="G105" s="3" t="inlineStr">
        <is>
          <t>2026-09-07</t>
        </is>
      </c>
      <c r="H105" s="3" t="inlineStr">
        <is>
          <t>2026-09-17</t>
        </is>
      </c>
      <c r="I105" s="3" t="inlineStr">
        <is>
          <t>Medium</t>
        </is>
      </c>
      <c r="J105" s="3" t="inlineStr">
        <is>
          <t>1. Frontend single page app with drag-and-drop
2. WebSocket server with room management
3. Optimistic UI updates with rollback
4. Responsive CSS layout
5. System architecture document</t>
        </is>
      </c>
      <c r="K105" s="3" t="inlineStr">
        <is>
          <t>https://classroom.google.com/c/submissions/stu-014_task-fswd-202</t>
        </is>
      </c>
      <c r="L105" s="3" t="inlineStr">
        <is>
          <t>Approved</t>
        </is>
      </c>
      <c r="M105" s="3" t="inlineStr">
        <is>
          <t>Sent</t>
        </is>
      </c>
    </row>
    <row r="106">
      <c r="A106" s="2" t="inlineStr">
        <is>
          <t>TASK-AIML-101</t>
        </is>
      </c>
      <c r="B106" s="2" t="inlineStr">
        <is>
          <t>Customer Churn Prediction Pipeline with Scikit-Learn &amp; FastAPI</t>
        </is>
      </c>
      <c r="C106" s="2" t="inlineStr">
        <is>
          <t>Build an end-to-end churn prediction model on telecom customer data. Preprocess tabular data, train Random Forest / XGBoost, evaluate ROC-AUC, and expose inference via a FastAPI REST endpoint with Dockerfile.</t>
        </is>
      </c>
      <c r="D106" s="2" t="inlineStr">
        <is>
          <t>STU-013</t>
        </is>
      </c>
      <c r="E106" s="2" t="inlineStr">
        <is>
          <t>Hassan Adams</t>
        </is>
      </c>
      <c r="F106" s="2" t="inlineStr">
        <is>
          <t>student013@example-interns.edu</t>
        </is>
      </c>
      <c r="G106" s="2" t="inlineStr">
        <is>
          <t>2026-09-06</t>
        </is>
      </c>
      <c r="H106" s="2" t="inlineStr">
        <is>
          <t>2026-09-16</t>
        </is>
      </c>
      <c r="I106" s="2" t="inlineStr">
        <is>
          <t>High</t>
        </is>
      </c>
      <c r="J106" s="2" t="inlineStr">
        <is>
          <t>1. Python model training script (train.py)
2. Serialized model artifact (.joblib)
3. FastAPI application (app.py) with /predict
4. Dockerfile &amp; requirements.txt
5. Model card &amp; validation report PDF</t>
        </is>
      </c>
      <c r="K106" s="2" t="inlineStr">
        <is>
          <t>https://classroom.google.com/c/submissions/stu-013_task-aiml-101</t>
        </is>
      </c>
      <c r="L106" s="2" t="inlineStr">
        <is>
          <t>Approved</t>
        </is>
      </c>
      <c r="M106" s="2" t="inlineStr">
        <is>
          <t>Sent</t>
        </is>
      </c>
    </row>
    <row r="107">
      <c r="A107" s="3" t="inlineStr">
        <is>
          <t>TASK-CYBR-602</t>
        </is>
      </c>
      <c r="B107" s="3" t="inlineStr">
        <is>
          <t>SOC Intrusion Detection &amp; SIEM Log Correlation Engine</t>
        </is>
      </c>
      <c r="C107" s="3" t="inlineStr">
        <is>
          <t>Construct an automated log correlation parser that ingests syslog and web access logs, detects brute-force authentication attacks and lateral movement patterns, and generates automated incident response tickets.</t>
        </is>
      </c>
      <c r="D107" s="3" t="inlineStr">
        <is>
          <t>STU-012</t>
        </is>
      </c>
      <c r="E107" s="3" t="inlineStr">
        <is>
          <t>Grace Hill</t>
        </is>
      </c>
      <c r="F107" s="3" t="inlineStr">
        <is>
          <t>student012@example-interns.edu</t>
        </is>
      </c>
      <c r="G107" s="3" t="inlineStr">
        <is>
          <t>2026-09-05</t>
        </is>
      </c>
      <c r="H107" s="3" t="inlineStr">
        <is>
          <t>2026-09-15</t>
        </is>
      </c>
      <c r="I107" s="3" t="inlineStr">
        <is>
          <t>High</t>
        </is>
      </c>
      <c r="J107" s="3" t="inlineStr">
        <is>
          <t>1. Log ingestion and parsing engine (regex/JSON)
2. Sigma-compatible detection rules
3. Alert correlation and threshold detector
4. Incident response triage playbook
5. Synthetic log test generator</t>
        </is>
      </c>
      <c r="K107" s="3" t="inlineStr">
        <is>
          <t>https://classroom.google.com/c/submissions/stu-012_task-cybr-602</t>
        </is>
      </c>
      <c r="L107" s="3" t="inlineStr">
        <is>
          <t>Approved</t>
        </is>
      </c>
      <c r="M107" s="3" t="inlineStr">
        <is>
          <t>Sent</t>
        </is>
      </c>
    </row>
    <row r="108">
      <c r="A108" s="2" t="inlineStr">
        <is>
          <t>TASK-MOBL-501</t>
        </is>
      </c>
      <c r="B108" s="2" t="inlineStr">
        <is>
          <t>Cross-Platform Habit Tracker with Offline SQLite &amp; Push Alerts</t>
        </is>
      </c>
      <c r="C108" s="2" t="inlineStr">
        <is>
          <t>Build a cross-platform mobile application (React Native or Flutter) that allows users to track daily habits, streaks, and completion analytics. Implement local SQLite persistence with background push notification reminders.</t>
        </is>
      </c>
      <c r="D108" s="2" t="inlineStr">
        <is>
          <t>STU-011</t>
        </is>
      </c>
      <c r="E108" s="2" t="inlineStr">
        <is>
          <t>Gabriel Scott</t>
        </is>
      </c>
      <c r="F108" s="2" t="inlineStr">
        <is>
          <t>student011@example-interns.edu</t>
        </is>
      </c>
      <c r="G108" s="2" t="inlineStr">
        <is>
          <t>2026-09-04</t>
        </is>
      </c>
      <c r="H108" s="2" t="inlineStr">
        <is>
          <t>2026-09-14</t>
        </is>
      </c>
      <c r="I108" s="2" t="inlineStr">
        <is>
          <t>Medium</t>
        </is>
      </c>
      <c r="J108" s="2" t="inlineStr">
        <is>
          <t>1. Mobile application source code
2. Local SQLite database schema and ORM layer
3. Scheduled local notification service
4. APK / test bundle
5. Architecture and state management breakdown</t>
        </is>
      </c>
      <c r="K108" s="2" t="inlineStr">
        <is>
          <t>https://classroom.google.com/c/submissions/stu-011_task-mobl-501</t>
        </is>
      </c>
      <c r="L108" s="2" t="inlineStr">
        <is>
          <t>Approved</t>
        </is>
      </c>
      <c r="M108" s="2" t="inlineStr">
        <is>
          <t>Sent</t>
        </is>
      </c>
    </row>
    <row r="109">
      <c r="A109" s="3" t="inlineStr">
        <is>
          <t>TASK-DEVO-402</t>
        </is>
      </c>
      <c r="B109" s="3" t="inlineStr">
        <is>
          <t>Kubernetes Microservices Observability with Prometheus &amp; Grafana</t>
        </is>
      </c>
      <c r="C109" s="3" t="inlineStr">
        <is>
          <t>Deploy a 3-tier microservice onto Kubernetes (Minikube / k3s). Implement metric scraping with Prometheus, custom application dashboards in Grafana, and Slack/email Alertmanager rules for pod crash and latency spikes.</t>
        </is>
      </c>
      <c r="D109" s="3" t="inlineStr">
        <is>
          <t>STU-010</t>
        </is>
      </c>
      <c r="E109" s="3" t="inlineStr">
        <is>
          <t>Fatima Allen</t>
        </is>
      </c>
      <c r="F109" s="3" t="inlineStr">
        <is>
          <t>student010@example-interns.edu</t>
        </is>
      </c>
      <c r="G109" s="3" t="inlineStr">
        <is>
          <t>2026-09-03</t>
        </is>
      </c>
      <c r="H109" s="3" t="inlineStr">
        <is>
          <t>2026-09-14</t>
        </is>
      </c>
      <c r="I109" s="3" t="inlineStr">
        <is>
          <t>High</t>
        </is>
      </c>
      <c r="J109" s="3" t="inlineStr">
        <is>
          <t>1. Kubernetes deployment and service manifests
2. Prometheus ServiceMonitor &amp; scrape configs
3. Exported Grafana dashboard JSON
4. Alertmanager rules YAML
5. Chaos testing documentation and proof of alerts</t>
        </is>
      </c>
      <c r="K109" s="3" t="inlineStr">
        <is>
          <t>https://classroom.google.com/c/submissions/stu-010_task-devo-402</t>
        </is>
      </c>
      <c r="L109" s="3" t="inlineStr">
        <is>
          <t>Completed</t>
        </is>
      </c>
      <c r="M109" s="3" t="inlineStr">
        <is>
          <t>Sent</t>
        </is>
      </c>
    </row>
    <row r="110">
      <c r="A110" s="2" t="inlineStr">
        <is>
          <t>TASK-DATA-301</t>
        </is>
      </c>
      <c r="B110" s="2" t="inlineStr">
        <is>
          <t>Automated Multi-Source Retail Sales ETL &amp; KPI Dashboard</t>
        </is>
      </c>
      <c r="C110" s="2" t="inlineStr">
        <is>
          <t>Extract raw CSV and JSON transaction logs, clean nulls/outliers in Pandas, load into a star-schema database, and construct an interactive dashboard featuring MoM growth, cohort retention, and customer lifetime value.</t>
        </is>
      </c>
      <c r="D110" s="2" t="inlineStr">
        <is>
          <t>STU-009</t>
        </is>
      </c>
      <c r="E110" s="2" t="inlineStr">
        <is>
          <t>Ethan Robinson</t>
        </is>
      </c>
      <c r="F110" s="2" t="inlineStr">
        <is>
          <t>student009@example-interns.edu</t>
        </is>
      </c>
      <c r="G110" s="2" t="inlineStr">
        <is>
          <t>2026-09-12</t>
        </is>
      </c>
      <c r="H110" s="2" t="inlineStr">
        <is>
          <t>2026-09-20</t>
        </is>
      </c>
      <c r="I110" s="2" t="inlineStr">
        <is>
          <t>Medium</t>
        </is>
      </c>
      <c r="J110" s="2" t="inlineStr">
        <is>
          <t>1. Automated ETL python script with logging
2. Cleaned dimensional data warehouse tables
3. Interactive dashboard (Streamlit / Dash)
4. Business insight briefing report (PDF/Markdown)
5. Data dictionary &amp; pipeline diagram</t>
        </is>
      </c>
      <c r="K110" s="2" t="inlineStr">
        <is>
          <t>https://classroom.google.com/c/submissions/stu-009_task-data-301</t>
        </is>
      </c>
      <c r="L110" s="2" t="inlineStr">
        <is>
          <t>Completed</t>
        </is>
      </c>
      <c r="M110" s="2" t="inlineStr">
        <is>
          <t>Sent</t>
        </is>
      </c>
    </row>
    <row r="111">
      <c r="A111" s="3" t="inlineStr">
        <is>
          <t>TASK-FSWD-202</t>
        </is>
      </c>
      <c r="B111" s="3" t="inlineStr">
        <is>
          <t>Real-Time Collaboration Kanban Board with WebSockets</t>
        </is>
      </c>
      <c r="C111" s="3" t="inlineStr">
        <is>
          <t>Develop a multi-tenant Kanban board application where updates to columns, cards, and drag-and-drop actions are synchronized in real-time across connected browser clients using WebSockets.</t>
        </is>
      </c>
      <c r="D111" s="3" t="inlineStr">
        <is>
          <t>STU-008</t>
        </is>
      </c>
      <c r="E111" s="3" t="inlineStr">
        <is>
          <t>Divya Clark</t>
        </is>
      </c>
      <c r="F111" s="3" t="inlineStr">
        <is>
          <t>student008@example-interns.edu</t>
        </is>
      </c>
      <c r="G111" s="3" t="inlineStr">
        <is>
          <t>2026-09-11</t>
        </is>
      </c>
      <c r="H111" s="3" t="inlineStr">
        <is>
          <t>2026-09-21</t>
        </is>
      </c>
      <c r="I111" s="3" t="inlineStr">
        <is>
          <t>Medium</t>
        </is>
      </c>
      <c r="J111" s="3" t="inlineStr">
        <is>
          <t>1. Frontend single page app with drag-and-drop
2. WebSocket server with room management
3. Optimistic UI updates with rollback
4. Responsive CSS layout
5. System architecture document</t>
        </is>
      </c>
      <c r="K111" s="3" t="inlineStr">
        <is>
          <t>https://classroom.google.com/c/submissions/stu-008_task-fswd-202</t>
        </is>
      </c>
      <c r="L111" s="3" t="inlineStr">
        <is>
          <t>Completed</t>
        </is>
      </c>
      <c r="M111" s="3" t="inlineStr">
        <is>
          <t>Sent</t>
        </is>
      </c>
    </row>
    <row r="112">
      <c r="A112" s="2" t="inlineStr">
        <is>
          <t>TASK-AIML-101</t>
        </is>
      </c>
      <c r="B112" s="2" t="inlineStr">
        <is>
          <t>Customer Churn Prediction Pipeline with Scikit-Learn &amp; FastAPI</t>
        </is>
      </c>
      <c r="C112" s="2" t="inlineStr">
        <is>
          <t>Build an end-to-end churn prediction model on telecom customer data. Preprocess tabular data, train Random Forest / XGBoost, evaluate ROC-AUC, and expose inference via a FastAPI REST endpoint with Dockerfile.</t>
        </is>
      </c>
      <c r="D112" s="2" t="inlineStr">
        <is>
          <t>STU-007</t>
        </is>
      </c>
      <c r="E112" s="2" t="inlineStr">
        <is>
          <t>David White</t>
        </is>
      </c>
      <c r="F112" s="2" t="inlineStr">
        <is>
          <t>student007@example-interns.edu</t>
        </is>
      </c>
      <c r="G112" s="2" t="inlineStr">
        <is>
          <t>2026-09-10</t>
        </is>
      </c>
      <c r="H112" s="2" t="inlineStr">
        <is>
          <t>2026-09-20</t>
        </is>
      </c>
      <c r="I112" s="2" t="inlineStr">
        <is>
          <t>High</t>
        </is>
      </c>
      <c r="J112" s="2" t="inlineStr">
        <is>
          <t>1. Python model training script (train.py)
2. Serialized model artifact (.joblib)
3. FastAPI application (app.py) with /predict
4. Dockerfile &amp; requirements.txt
5. Model card &amp; validation report PDF</t>
        </is>
      </c>
      <c r="K112" s="2" t="inlineStr">
        <is>
          <t>https://classroom.google.com/c/submissions/stu-007_task-aiml-101</t>
        </is>
      </c>
      <c r="L112" s="2" t="inlineStr">
        <is>
          <t>Completed</t>
        </is>
      </c>
      <c r="M112" s="2" t="inlineStr">
        <is>
          <t>Sent</t>
        </is>
      </c>
    </row>
    <row r="113">
      <c r="A113" s="3" t="inlineStr">
        <is>
          <t>TASK-CYBR-602</t>
        </is>
      </c>
      <c r="B113" s="3" t="inlineStr">
        <is>
          <t>SOC Intrusion Detection &amp; SIEM Log Correlation Engine</t>
        </is>
      </c>
      <c r="C113" s="3" t="inlineStr">
        <is>
          <t>Construct an automated log correlation parser that ingests syslog and web access logs, detects brute-force authentication attacks and lateral movement patterns, and generates automated incident response tickets.</t>
        </is>
      </c>
      <c r="D113" s="3" t="inlineStr">
        <is>
          <t>STU-006</t>
        </is>
      </c>
      <c r="E113" s="3" t="inlineStr">
        <is>
          <t>Chloe Lee</t>
        </is>
      </c>
      <c r="F113" s="3" t="inlineStr">
        <is>
          <t>student006@example-interns.edu</t>
        </is>
      </c>
      <c r="G113" s="3" t="inlineStr">
        <is>
          <t>2026-09-09</t>
        </is>
      </c>
      <c r="H113" s="3" t="inlineStr">
        <is>
          <t>2026-09-19</t>
        </is>
      </c>
      <c r="I113" s="3" t="inlineStr">
        <is>
          <t>High</t>
        </is>
      </c>
      <c r="J113" s="3" t="inlineStr">
        <is>
          <t>1. Log ingestion and parsing engine (regex/JSON)
2. Sigma-compatible detection rules
3. Alert correlation and threshold detector
4. Incident response triage playbook
5. Synthetic log test generator</t>
        </is>
      </c>
      <c r="K113" s="3" t="inlineStr">
        <is>
          <t>https://classroom.google.com/c/submissions/stu-006_task-cybr-602</t>
        </is>
      </c>
      <c r="L113" s="3" t="inlineStr">
        <is>
          <t>Completed</t>
        </is>
      </c>
      <c r="M113" s="3" t="inlineStr">
        <is>
          <t>Sent</t>
        </is>
      </c>
    </row>
    <row r="114">
      <c r="A114" s="2" t="inlineStr">
        <is>
          <t>TASK-MOBL-501</t>
        </is>
      </c>
      <c r="B114" s="2" t="inlineStr">
        <is>
          <t>Cross-Platform Habit Tracker with Offline SQLite &amp; Push Alerts</t>
        </is>
      </c>
      <c r="C114" s="2" t="inlineStr">
        <is>
          <t>Build a cross-platform mobile application (React Native or Flutter) that allows users to track daily habits, streaks, and completion analytics. Implement local SQLite persistence with background push notification reminders.</t>
        </is>
      </c>
      <c r="D114" s="2" t="inlineStr">
        <is>
          <t>STU-005</t>
        </is>
      </c>
      <c r="E114" s="2" t="inlineStr">
        <is>
          <t>Carlos Moore</t>
        </is>
      </c>
      <c r="F114" s="2" t="inlineStr">
        <is>
          <t>student005@example-interns.edu</t>
        </is>
      </c>
      <c r="G114" s="2" t="inlineStr">
        <is>
          <t>2026-09-08</t>
        </is>
      </c>
      <c r="H114" s="2" t="inlineStr">
        <is>
          <t>2026-09-18</t>
        </is>
      </c>
      <c r="I114" s="2" t="inlineStr">
        <is>
          <t>Medium</t>
        </is>
      </c>
      <c r="J114" s="2" t="inlineStr">
        <is>
          <t>1. Mobile application source code
2. Local SQLite database schema and ORM layer
3. Scheduled local notification service
4. APK / test bundle
5. Architecture and state management breakdown</t>
        </is>
      </c>
      <c r="K114" s="2" t="inlineStr">
        <is>
          <t>https://classroom.google.com/c/submissions/stu-005_task-mobl-501</t>
        </is>
      </c>
      <c r="L114" s="2" t="inlineStr">
        <is>
          <t>Completed</t>
        </is>
      </c>
      <c r="M114" s="2" t="inlineStr">
        <is>
          <t>Sent</t>
        </is>
      </c>
    </row>
    <row r="115">
      <c r="A115" s="3" t="inlineStr">
        <is>
          <t>TASK-DEVO-402</t>
        </is>
      </c>
      <c r="B115" s="3" t="inlineStr">
        <is>
          <t>Kubernetes Microservices Observability with Prometheus &amp; Grafana</t>
        </is>
      </c>
      <c r="C115" s="3" t="inlineStr">
        <is>
          <t>Deploy a 3-tier microservice onto Kubernetes (Minikube / k3s). Implement metric scraping with Prometheus, custom application dashboards in Grafana, and Slack/email Alertmanager rules for pod crash and latency spikes.</t>
        </is>
      </c>
      <c r="D115" s="3" t="inlineStr">
        <is>
          <t>STU-004</t>
        </is>
      </c>
      <c r="E115" s="3" t="inlineStr">
        <is>
          <t>Amara Anderson</t>
        </is>
      </c>
      <c r="F115" s="3" t="inlineStr">
        <is>
          <t>student004@example-interns.edu</t>
        </is>
      </c>
      <c r="G115" s="3" t="inlineStr">
        <is>
          <t>2026-09-07</t>
        </is>
      </c>
      <c r="H115" s="3" t="inlineStr">
        <is>
          <t>2026-09-18</t>
        </is>
      </c>
      <c r="I115" s="3" t="inlineStr">
        <is>
          <t>High</t>
        </is>
      </c>
      <c r="J115" s="3" t="inlineStr">
        <is>
          <t>1. Kubernetes deployment and service manifests
2. Prometheus ServiceMonitor &amp; scrape configs
3. Exported Grafana dashboard JSON
4. Alertmanager rules YAML
5. Chaos testing documentation and proof of alerts</t>
        </is>
      </c>
      <c r="K115" s="3" t="inlineStr">
        <is>
          <t>https://classroom.google.com/c/submissions/stu-004_task-devo-402</t>
        </is>
      </c>
      <c r="L115" s="3" t="inlineStr">
        <is>
          <t>Completed</t>
        </is>
      </c>
      <c r="M115" s="3" t="inlineStr">
        <is>
          <t>Sent</t>
        </is>
      </c>
    </row>
    <row r="116">
      <c r="A116" s="2" t="inlineStr">
        <is>
          <t>TASK-DATA-301</t>
        </is>
      </c>
      <c r="B116" s="2" t="inlineStr">
        <is>
          <t>Automated Multi-Source Retail Sales ETL &amp; KPI Dashboard</t>
        </is>
      </c>
      <c r="C116" s="2" t="inlineStr">
        <is>
          <t>Extract raw CSV and JSON transaction logs, clean nulls/outliers in Pandas, load into a star-schema database, and construct an interactive dashboard featuring MoM growth, cohort retention, and customer lifetime value.</t>
        </is>
      </c>
      <c r="D116" s="2" t="inlineStr">
        <is>
          <t>STU-003</t>
        </is>
      </c>
      <c r="E116" s="2" t="inlineStr">
        <is>
          <t>Alexander Lopez</t>
        </is>
      </c>
      <c r="F116" s="2" t="inlineStr">
        <is>
          <t>student003@example-interns.edu</t>
        </is>
      </c>
      <c r="G116" s="2" t="inlineStr">
        <is>
          <t>2026-09-06</t>
        </is>
      </c>
      <c r="H116" s="2" t="inlineStr">
        <is>
          <t>2026-09-14</t>
        </is>
      </c>
      <c r="I116" s="2" t="inlineStr">
        <is>
          <t>Medium</t>
        </is>
      </c>
      <c r="J116" s="2" t="inlineStr">
        <is>
          <t>1. Automated ETL python script with logging
2. Cleaned dimensional data warehouse tables
3. Interactive dashboard (Streamlit / Dash)
4. Business insight briefing report (PDF/Markdown)
5. Data dictionary &amp; pipeline diagram</t>
        </is>
      </c>
      <c r="K116" s="2" t="inlineStr">
        <is>
          <t>https://classroom.google.com/c/submissions/stu-003_task-data-301</t>
        </is>
      </c>
      <c r="L116" s="2" t="inlineStr">
        <is>
          <t>Completed</t>
        </is>
      </c>
      <c r="M116" s="2" t="inlineStr">
        <is>
          <t>Sent</t>
        </is>
      </c>
    </row>
    <row r="117">
      <c r="A117" s="3" t="inlineStr">
        <is>
          <t>TASK-FSWD-202</t>
        </is>
      </c>
      <c r="B117" s="3" t="inlineStr">
        <is>
          <t>Real-Time Collaboration Kanban Board with WebSockets</t>
        </is>
      </c>
      <c r="C117" s="3" t="inlineStr">
        <is>
          <t>Develop a multi-tenant Kanban board application where updates to columns, cards, and drag-and-drop actions are synchronized in real-time across connected browser clients using WebSockets.</t>
        </is>
      </c>
      <c r="D117" s="3" t="inlineStr">
        <is>
          <t>STU-002</t>
        </is>
      </c>
      <c r="E117" s="3" t="inlineStr">
        <is>
          <t>Aditi Rodriguez</t>
        </is>
      </c>
      <c r="F117" s="3" t="inlineStr">
        <is>
          <t>student002@example-interns.edu</t>
        </is>
      </c>
      <c r="G117" s="3" t="inlineStr">
        <is>
          <t>2026-09-05</t>
        </is>
      </c>
      <c r="H117" s="3" t="inlineStr">
        <is>
          <t>2026-09-15</t>
        </is>
      </c>
      <c r="I117" s="3" t="inlineStr">
        <is>
          <t>Medium</t>
        </is>
      </c>
      <c r="J117" s="3" t="inlineStr">
        <is>
          <t>1. Frontend single page app with drag-and-drop
2. WebSocket server with room management
3. Optimistic UI updates with rollback
4. Responsive CSS layout
5. System architecture document</t>
        </is>
      </c>
      <c r="K117" s="3" t="inlineStr">
        <is>
          <t>https://classroom.google.com/c/submissions/stu-002_task-fswd-202</t>
        </is>
      </c>
      <c r="L117" s="3" t="inlineStr">
        <is>
          <t>Completed</t>
        </is>
      </c>
      <c r="M117" s="3" t="inlineStr">
        <is>
          <t>Sent</t>
        </is>
      </c>
    </row>
    <row r="118">
      <c r="A118" s="2" t="inlineStr">
        <is>
          <t>TASK-AIML-101</t>
        </is>
      </c>
      <c r="B118" s="2" t="inlineStr">
        <is>
          <t>Customer Churn Prediction Pipeline with Scikit-Learn &amp; FastAPI</t>
        </is>
      </c>
      <c r="C118" s="2" t="inlineStr">
        <is>
          <t>Build an end-to-end churn prediction model on telecom customer data. Preprocess tabular data, train Random Forest / XGBoost, evaluate ROC-AUC, and expose inference via a FastAPI REST endpoint with Dockerfile.</t>
        </is>
      </c>
      <c r="D118" s="2" t="inlineStr">
        <is>
          <t>STU-001</t>
        </is>
      </c>
      <c r="E118" s="2" t="inlineStr">
        <is>
          <t>Kasthuri</t>
        </is>
      </c>
      <c r="F118" s="2" t="inlineStr">
        <is>
          <t>kasthurikumar1105@gmail.com</t>
        </is>
      </c>
      <c r="G118" s="2" t="inlineStr">
        <is>
          <t>2026-09-04</t>
        </is>
      </c>
      <c r="H118" s="2" t="inlineStr">
        <is>
          <t>2026-09-14</t>
        </is>
      </c>
      <c r="I118" s="2" t="inlineStr">
        <is>
          <t>High</t>
        </is>
      </c>
      <c r="J118" s="2" t="inlineStr">
        <is>
          <t>1. Python model training script (train.py)
2. Serialized model artifact (.joblib)
3. FastAPI application (app.py) with /predict
4. Dockerfile &amp; requirements.txt
5. Model card &amp; validation report PDF</t>
        </is>
      </c>
      <c r="K118" s="2" t="inlineStr">
        <is>
          <t>https://classroom.google.com/c/submissions/stu-001_task-aiml-101</t>
        </is>
      </c>
      <c r="L118" s="2" t="inlineStr">
        <is>
          <t>Completed</t>
        </is>
      </c>
      <c r="M118" s="2" t="inlineStr">
        <is>
          <t>Sent</t>
        </is>
      </c>
    </row>
  </sheetData>
  <dataValidations count="1">
    <dataValidation sqref="I2:I500" showDropDown="0" showInputMessage="0" showErrorMessage="0" allowBlank="1"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93"/>
  <sheetViews>
    <sheetView workbookViewId="0">
      <pane ySplit="1" topLeftCell="A2" activePane="bottomLeft" state="frozen"/>
      <selection pane="bottomLeft" activeCell="A1" sqref="A1"/>
    </sheetView>
  </sheetViews>
  <sheetFormatPr baseColWidth="8" defaultRowHeight="15"/>
  <cols>
    <col width="21" customWidth="1" min="1" max="1"/>
    <col width="15" customWidth="1" min="2" max="2"/>
    <col width="19" customWidth="1" min="3" max="3"/>
    <col width="34" customWidth="1" min="4" max="4"/>
    <col width="16" customWidth="1" min="5" max="5"/>
    <col width="16" customWidth="1" min="6" max="6"/>
    <col width="14" customWidth="1" min="7" max="7"/>
    <col width="14" customWidth="1" min="8" max="8"/>
    <col width="15" customWidth="1" min="9" max="9"/>
    <col width="40" customWidth="1" min="10" max="10"/>
    <col width="23" customWidth="1" min="11" max="11"/>
    <col width="16" customWidth="1" min="12" max="12"/>
    <col width="22" customWidth="1" min="13" max="13"/>
    <col width="18" customWidth="1" min="14" max="14"/>
    <col width="19" customWidth="1" min="15" max="15"/>
  </cols>
  <sheetData>
    <row r="1" ht="26" customHeight="1">
      <c r="A1" s="1" t="inlineStr">
        <is>
          <t>Review ID</t>
        </is>
      </c>
      <c r="B1" s="1" t="inlineStr">
        <is>
          <t>Student ID</t>
        </is>
      </c>
      <c r="C1" s="1" t="inlineStr">
        <is>
          <t>Student Name</t>
        </is>
      </c>
      <c r="D1" s="1" t="inlineStr">
        <is>
          <t>Student Email</t>
        </is>
      </c>
      <c r="E1" s="1" t="inlineStr">
        <is>
          <t>Task ID</t>
        </is>
      </c>
      <c r="F1" s="1" t="inlineStr">
        <is>
          <t>Review Number</t>
        </is>
      </c>
      <c r="G1" s="1" t="inlineStr">
        <is>
          <t>Review Date</t>
        </is>
      </c>
      <c r="H1" s="1" t="inlineStr">
        <is>
          <t>Review Time</t>
        </is>
      </c>
      <c r="I1" s="1" t="inlineStr">
        <is>
          <t>Time Zone</t>
        </is>
      </c>
      <c r="J1" s="1" t="inlineStr">
        <is>
          <t>Meeting / GCR Link</t>
        </is>
      </c>
      <c r="K1" s="1" t="inlineStr">
        <is>
          <t>Submission Status</t>
        </is>
      </c>
      <c r="L1" s="1" t="inlineStr">
        <is>
          <t>Review Status</t>
        </is>
      </c>
      <c r="M1" s="1" t="inlineStr">
        <is>
          <t>Reviewer</t>
        </is>
      </c>
      <c r="N1" s="1" t="inlineStr">
        <is>
          <t>Feedback Status</t>
        </is>
      </c>
      <c r="O1" s="1" t="inlineStr">
        <is>
          <t>Next Review Date</t>
        </is>
      </c>
    </row>
    <row r="2">
      <c r="A2" s="2" t="inlineStr">
        <is>
          <t>REV-STU-076-1</t>
        </is>
      </c>
      <c r="B2" s="2" t="inlineStr">
        <is>
          <t>STU-076</t>
        </is>
      </c>
      <c r="C2" s="2" t="inlineStr">
        <is>
          <t>Tariq Walker</t>
        </is>
      </c>
      <c r="D2" s="2" t="inlineStr">
        <is>
          <t>student076@example-interns.edu</t>
        </is>
      </c>
      <c r="E2" s="2" t="inlineStr">
        <is>
          <t>TASK-DEVO-402</t>
        </is>
      </c>
      <c r="F2" s="2" t="n">
        <v>1</v>
      </c>
      <c r="G2" s="2" t="inlineStr">
        <is>
          <t>2026-10-26</t>
        </is>
      </c>
      <c r="H2" s="2" t="inlineStr">
        <is>
          <t>17:00</t>
        </is>
      </c>
      <c r="I2" s="2" t="inlineStr">
        <is>
          <t>Asia/Kolkata</t>
        </is>
      </c>
      <c r="J2" s="2" t="inlineStr">
        <is>
          <t>https://meet.google.com/rev-stu-076</t>
        </is>
      </c>
      <c r="K2" s="2" t="inlineStr">
        <is>
          <t>Pending</t>
        </is>
      </c>
      <c r="L2" s="2" t="inlineStr">
        <is>
          <t>Scheduled</t>
        </is>
      </c>
      <c r="M2" s="2" t="inlineStr">
        <is>
          <t>Rajiv Mehta</t>
        </is>
      </c>
      <c r="N2" s="2" t="inlineStr">
        <is>
          <t>Pending</t>
        </is>
      </c>
      <c r="O2" s="2" t="inlineStr">
        <is>
          <t>2026-11-02</t>
        </is>
      </c>
    </row>
    <row r="3">
      <c r="A3" s="3" t="inlineStr">
        <is>
          <t>REV-STU-077-1</t>
        </is>
      </c>
      <c r="B3" s="3" t="inlineStr">
        <is>
          <t>STU-077</t>
        </is>
      </c>
      <c r="C3" s="3" t="inlineStr">
        <is>
          <t>Uma King</t>
        </is>
      </c>
      <c r="D3" s="3" t="inlineStr">
        <is>
          <t>student077@example-interns.edu</t>
        </is>
      </c>
      <c r="E3" s="3" t="inlineStr">
        <is>
          <t>TASK-MOBL-501</t>
        </is>
      </c>
      <c r="F3" s="3" t="n">
        <v>1</v>
      </c>
      <c r="G3" s="3" t="inlineStr">
        <is>
          <t>2026-10-26</t>
        </is>
      </c>
      <c r="H3" s="3" t="inlineStr">
        <is>
          <t>17:00</t>
        </is>
      </c>
      <c r="I3" s="3" t="inlineStr">
        <is>
          <t>Asia/Kolkata</t>
        </is>
      </c>
      <c r="J3" s="3" t="inlineStr">
        <is>
          <t>https://meet.google.com/rev-stu-077</t>
        </is>
      </c>
      <c r="K3" s="3" t="inlineStr">
        <is>
          <t>Pending</t>
        </is>
      </c>
      <c r="L3" s="3" t="inlineStr">
        <is>
          <t>Scheduled</t>
        </is>
      </c>
      <c r="M3" s="3" t="inlineStr">
        <is>
          <t>Marcus Chen</t>
        </is>
      </c>
      <c r="N3" s="3" t="inlineStr">
        <is>
          <t>Pending</t>
        </is>
      </c>
      <c r="O3" s="3" t="inlineStr">
        <is>
          <t>2026-11-02</t>
        </is>
      </c>
    </row>
    <row r="4">
      <c r="A4" s="2" t="inlineStr">
        <is>
          <t>REV-STU-078-1</t>
        </is>
      </c>
      <c r="B4" s="2" t="inlineStr">
        <is>
          <t>STU-078</t>
        </is>
      </c>
      <c r="C4" s="2" t="inlineStr">
        <is>
          <t>Victor Torres</t>
        </is>
      </c>
      <c r="D4" s="2" t="inlineStr">
        <is>
          <t>student078@example-interns.edu</t>
        </is>
      </c>
      <c r="E4" s="2" t="inlineStr">
        <is>
          <t>TASK-CYBR-602</t>
        </is>
      </c>
      <c r="F4" s="2" t="n">
        <v>1</v>
      </c>
      <c r="G4" s="2" t="inlineStr">
        <is>
          <t>2026-10-26</t>
        </is>
      </c>
      <c r="H4" s="2" t="inlineStr">
        <is>
          <t>17:00</t>
        </is>
      </c>
      <c r="I4" s="2" t="inlineStr">
        <is>
          <t>Asia/Kolkata</t>
        </is>
      </c>
      <c r="J4" s="2" t="inlineStr">
        <is>
          <t>https://meet.google.com/rev-stu-078</t>
        </is>
      </c>
      <c r="K4" s="2" t="inlineStr">
        <is>
          <t>Pending</t>
        </is>
      </c>
      <c r="L4" s="2" t="inlineStr">
        <is>
          <t>Scheduled</t>
        </is>
      </c>
      <c r="M4" s="2" t="inlineStr">
        <is>
          <t>Nadia Al-Mansoor</t>
        </is>
      </c>
      <c r="N4" s="2" t="inlineStr">
        <is>
          <t>Pending</t>
        </is>
      </c>
      <c r="O4" s="2" t="inlineStr">
        <is>
          <t>2026-11-02</t>
        </is>
      </c>
    </row>
    <row r="5">
      <c r="A5" s="3" t="inlineStr">
        <is>
          <t>REV-STU-079-1</t>
        </is>
      </c>
      <c r="B5" s="3" t="inlineStr">
        <is>
          <t>STU-079</t>
        </is>
      </c>
      <c r="C5" s="3" t="inlineStr">
        <is>
          <t>Wei Flores</t>
        </is>
      </c>
      <c r="D5" s="3" t="inlineStr">
        <is>
          <t>student079@example-interns.edu</t>
        </is>
      </c>
      <c r="E5" s="3" t="inlineStr">
        <is>
          <t>TASK-AIML-101</t>
        </is>
      </c>
      <c r="F5" s="3" t="n">
        <v>1</v>
      </c>
      <c r="G5" s="3" t="inlineStr">
        <is>
          <t>2026-10-26</t>
        </is>
      </c>
      <c r="H5" s="3" t="inlineStr">
        <is>
          <t>17:00</t>
        </is>
      </c>
      <c r="I5" s="3" t="inlineStr">
        <is>
          <t>Asia/Kolkata</t>
        </is>
      </c>
      <c r="J5" s="3" t="inlineStr">
        <is>
          <t>https://meet.google.com/rev-stu-079</t>
        </is>
      </c>
      <c r="K5" s="3" t="inlineStr">
        <is>
          <t>Pending</t>
        </is>
      </c>
      <c r="L5" s="3" t="inlineStr">
        <is>
          <t>Scheduled</t>
        </is>
      </c>
      <c r="M5" s="3" t="inlineStr">
        <is>
          <t>Dr. Aris Thorne</t>
        </is>
      </c>
      <c r="N5" s="3" t="inlineStr">
        <is>
          <t>Pending</t>
        </is>
      </c>
      <c r="O5" s="3" t="inlineStr">
        <is>
          <t>2026-11-02</t>
        </is>
      </c>
    </row>
    <row r="6">
      <c r="A6" s="2" t="inlineStr">
        <is>
          <t>REV-STU-080-1</t>
        </is>
      </c>
      <c r="B6" s="2" t="inlineStr">
        <is>
          <t>STU-080</t>
        </is>
      </c>
      <c r="C6" s="2" t="inlineStr">
        <is>
          <t>Zara Nelson</t>
        </is>
      </c>
      <c r="D6" s="2" t="inlineStr">
        <is>
          <t>student080@example-interns.edu</t>
        </is>
      </c>
      <c r="E6" s="2" t="inlineStr">
        <is>
          <t>TASK-FSWD-202</t>
        </is>
      </c>
      <c r="F6" s="2" t="n">
        <v>1</v>
      </c>
      <c r="G6" s="2" t="inlineStr">
        <is>
          <t>2026-10-26</t>
        </is>
      </c>
      <c r="H6" s="2" t="inlineStr">
        <is>
          <t>17:00</t>
        </is>
      </c>
      <c r="I6" s="2" t="inlineStr">
        <is>
          <t>Asia/Kolkata</t>
        </is>
      </c>
      <c r="J6" s="2" t="inlineStr">
        <is>
          <t>https://meet.google.com/rev-stu-080</t>
        </is>
      </c>
      <c r="K6" s="2" t="inlineStr">
        <is>
          <t>Pending</t>
        </is>
      </c>
      <c r="L6" s="2" t="inlineStr">
        <is>
          <t>Scheduled</t>
        </is>
      </c>
      <c r="M6" s="2" t="inlineStr">
        <is>
          <t>Prof. Elena Rostova</t>
        </is>
      </c>
      <c r="N6" s="2" t="inlineStr">
        <is>
          <t>Pending</t>
        </is>
      </c>
      <c r="O6" s="2" t="inlineStr">
        <is>
          <t>2026-11-02</t>
        </is>
      </c>
    </row>
    <row r="7">
      <c r="A7" s="3" t="inlineStr">
        <is>
          <t>REV-STU-081-1</t>
        </is>
      </c>
      <c r="B7" s="3" t="inlineStr">
        <is>
          <t>STU-081</t>
        </is>
      </c>
      <c r="C7" s="3" t="inlineStr">
        <is>
          <t>Ananya Rivera</t>
        </is>
      </c>
      <c r="D7" s="3" t="inlineStr">
        <is>
          <t>student081@example-interns.edu</t>
        </is>
      </c>
      <c r="E7" s="3" t="inlineStr">
        <is>
          <t>TASK-DATA-301</t>
        </is>
      </c>
      <c r="F7" s="3" t="n">
        <v>1</v>
      </c>
      <c r="G7" s="3" t="inlineStr">
        <is>
          <t>2026-10-26</t>
        </is>
      </c>
      <c r="H7" s="3" t="inlineStr">
        <is>
          <t>17:00</t>
        </is>
      </c>
      <c r="I7" s="3" t="inlineStr">
        <is>
          <t>Asia/Kolkata</t>
        </is>
      </c>
      <c r="J7" s="3" t="inlineStr">
        <is>
          <t>https://meet.google.com/rev-stu-081</t>
        </is>
      </c>
      <c r="K7" s="3" t="inlineStr">
        <is>
          <t>Pending</t>
        </is>
      </c>
      <c r="L7" s="3" t="inlineStr">
        <is>
          <t>Scheduled</t>
        </is>
      </c>
      <c r="M7" s="3" t="inlineStr">
        <is>
          <t>Sarah Jenkins</t>
        </is>
      </c>
      <c r="N7" s="3" t="inlineStr">
        <is>
          <t>Pending</t>
        </is>
      </c>
      <c r="O7" s="3" t="inlineStr">
        <is>
          <t>2026-11-02</t>
        </is>
      </c>
    </row>
    <row r="8">
      <c r="A8" s="2" t="inlineStr">
        <is>
          <t>REV-STU-082-1</t>
        </is>
      </c>
      <c r="B8" s="2" t="inlineStr">
        <is>
          <t>STU-082</t>
        </is>
      </c>
      <c r="C8" s="2" t="inlineStr">
        <is>
          <t>Brian Patel</t>
        </is>
      </c>
      <c r="D8" s="2" t="inlineStr">
        <is>
          <t>student082@example-interns.edu</t>
        </is>
      </c>
      <c r="E8" s="2" t="inlineStr">
        <is>
          <t>TASK-DEVO-402</t>
        </is>
      </c>
      <c r="F8" s="2" t="n">
        <v>1</v>
      </c>
      <c r="G8" s="2" t="inlineStr">
        <is>
          <t>2026-10-26</t>
        </is>
      </c>
      <c r="H8" s="2" t="inlineStr">
        <is>
          <t>17:00</t>
        </is>
      </c>
      <c r="I8" s="2" t="inlineStr">
        <is>
          <t>Asia/Kolkata</t>
        </is>
      </c>
      <c r="J8" s="2" t="inlineStr">
        <is>
          <t>https://meet.google.com/rev-stu-082</t>
        </is>
      </c>
      <c r="K8" s="2" t="inlineStr">
        <is>
          <t>Pending</t>
        </is>
      </c>
      <c r="L8" s="2" t="inlineStr">
        <is>
          <t>Scheduled</t>
        </is>
      </c>
      <c r="M8" s="2" t="inlineStr">
        <is>
          <t>Rajiv Mehta</t>
        </is>
      </c>
      <c r="N8" s="2" t="inlineStr">
        <is>
          <t>Pending</t>
        </is>
      </c>
      <c r="O8" s="2" t="inlineStr">
        <is>
          <t>2026-11-02</t>
        </is>
      </c>
    </row>
    <row r="9">
      <c r="A9" s="3" t="inlineStr">
        <is>
          <t>REV-STU-083-1</t>
        </is>
      </c>
      <c r="B9" s="3" t="inlineStr">
        <is>
          <t>STU-083</t>
        </is>
      </c>
      <c r="C9" s="3" t="inlineStr">
        <is>
          <t>Camila Johnson</t>
        </is>
      </c>
      <c r="D9" s="3" t="inlineStr">
        <is>
          <t>student083@example-interns.edu</t>
        </is>
      </c>
      <c r="E9" s="3" t="inlineStr">
        <is>
          <t>TASK-MOBL-501</t>
        </is>
      </c>
      <c r="F9" s="3" t="n">
        <v>1</v>
      </c>
      <c r="G9" s="3" t="inlineStr">
        <is>
          <t>2026-10-26</t>
        </is>
      </c>
      <c r="H9" s="3" t="inlineStr">
        <is>
          <t>17:00</t>
        </is>
      </c>
      <c r="I9" s="3" t="inlineStr">
        <is>
          <t>Asia/Kolkata</t>
        </is>
      </c>
      <c r="J9" s="3" t="inlineStr">
        <is>
          <t>https://meet.google.com/rev-stu-083</t>
        </is>
      </c>
      <c r="K9" s="3" t="inlineStr">
        <is>
          <t>Pending</t>
        </is>
      </c>
      <c r="L9" s="3" t="inlineStr">
        <is>
          <t>Scheduled</t>
        </is>
      </c>
      <c r="M9" s="3" t="inlineStr">
        <is>
          <t>Marcus Chen</t>
        </is>
      </c>
      <c r="N9" s="3" t="inlineStr">
        <is>
          <t>Pending</t>
        </is>
      </c>
      <c r="O9" s="3" t="inlineStr">
        <is>
          <t>2026-11-02</t>
        </is>
      </c>
    </row>
    <row r="10">
      <c r="A10" s="2" t="inlineStr">
        <is>
          <t>REV-STU-084-1</t>
        </is>
      </c>
      <c r="B10" s="2" t="inlineStr">
        <is>
          <t>STU-084</t>
        </is>
      </c>
      <c r="C10" s="2" t="inlineStr">
        <is>
          <t>Daniel Jones</t>
        </is>
      </c>
      <c r="D10" s="2" t="inlineStr">
        <is>
          <t>student084@example-interns.edu</t>
        </is>
      </c>
      <c r="E10" s="2" t="inlineStr">
        <is>
          <t>TASK-CYBR-602</t>
        </is>
      </c>
      <c r="F10" s="2" t="n">
        <v>1</v>
      </c>
      <c r="G10" s="2" t="inlineStr">
        <is>
          <t>2026-10-26</t>
        </is>
      </c>
      <c r="H10" s="2" t="inlineStr">
        <is>
          <t>17:00</t>
        </is>
      </c>
      <c r="I10" s="2" t="inlineStr">
        <is>
          <t>Asia/Kolkata</t>
        </is>
      </c>
      <c r="J10" s="2" t="inlineStr">
        <is>
          <t>https://meet.google.com/rev-stu-084</t>
        </is>
      </c>
      <c r="K10" s="2" t="inlineStr">
        <is>
          <t>Pending</t>
        </is>
      </c>
      <c r="L10" s="2" t="inlineStr">
        <is>
          <t>Scheduled</t>
        </is>
      </c>
      <c r="M10" s="2" t="inlineStr">
        <is>
          <t>Nadia Al-Mansoor</t>
        </is>
      </c>
      <c r="N10" s="2" t="inlineStr">
        <is>
          <t>Pending</t>
        </is>
      </c>
      <c r="O10" s="2" t="inlineStr">
        <is>
          <t>2026-11-02</t>
        </is>
      </c>
    </row>
    <row r="11">
      <c r="A11" s="3" t="inlineStr">
        <is>
          <t>REV-STU-085-1</t>
        </is>
      </c>
      <c r="B11" s="3" t="inlineStr">
        <is>
          <t>STU-085</t>
        </is>
      </c>
      <c r="C11" s="3" t="inlineStr">
        <is>
          <t>Emma Davis</t>
        </is>
      </c>
      <c r="D11" s="3" t="inlineStr">
        <is>
          <t>student085@example-interns.edu</t>
        </is>
      </c>
      <c r="E11" s="3" t="inlineStr">
        <is>
          <t>TASK-AIML-101</t>
        </is>
      </c>
      <c r="F11" s="3" t="n">
        <v>1</v>
      </c>
      <c r="G11" s="3" t="inlineStr">
        <is>
          <t>2026-10-26</t>
        </is>
      </c>
      <c r="H11" s="3" t="inlineStr">
        <is>
          <t>17:00</t>
        </is>
      </c>
      <c r="I11" s="3" t="inlineStr">
        <is>
          <t>Asia/Kolkata</t>
        </is>
      </c>
      <c r="J11" s="3" t="inlineStr">
        <is>
          <t>https://meet.google.com/rev-stu-085</t>
        </is>
      </c>
      <c r="K11" s="3" t="inlineStr">
        <is>
          <t>Pending</t>
        </is>
      </c>
      <c r="L11" s="3" t="inlineStr">
        <is>
          <t>Scheduled</t>
        </is>
      </c>
      <c r="M11" s="3" t="inlineStr">
        <is>
          <t>Dr. Aris Thorne</t>
        </is>
      </c>
      <c r="N11" s="3" t="inlineStr">
        <is>
          <t>Pending</t>
        </is>
      </c>
      <c r="O11" s="3" t="inlineStr">
        <is>
          <t>2026-11-02</t>
        </is>
      </c>
    </row>
    <row r="12">
      <c r="A12" s="2" t="inlineStr">
        <is>
          <t>REV-STU-086-1</t>
        </is>
      </c>
      <c r="B12" s="2" t="inlineStr">
        <is>
          <t>STU-086</t>
        </is>
      </c>
      <c r="C12" s="2" t="inlineStr">
        <is>
          <t>Farhan Hernandez</t>
        </is>
      </c>
      <c r="D12" s="2" t="inlineStr">
        <is>
          <t>student086@example-interns.edu</t>
        </is>
      </c>
      <c r="E12" s="2" t="inlineStr">
        <is>
          <t>TASK-FSWD-202</t>
        </is>
      </c>
      <c r="F12" s="2" t="n">
        <v>1</v>
      </c>
      <c r="G12" s="2" t="inlineStr">
        <is>
          <t>2026-10-26</t>
        </is>
      </c>
      <c r="H12" s="2" t="inlineStr">
        <is>
          <t>17:00</t>
        </is>
      </c>
      <c r="I12" s="2" t="inlineStr">
        <is>
          <t>Asia/Kolkata</t>
        </is>
      </c>
      <c r="J12" s="2" t="inlineStr">
        <is>
          <t>https://meet.google.com/rev-stu-086</t>
        </is>
      </c>
      <c r="K12" s="2" t="inlineStr">
        <is>
          <t>Pending</t>
        </is>
      </c>
      <c r="L12" s="2" t="inlineStr">
        <is>
          <t>Scheduled</t>
        </is>
      </c>
      <c r="M12" s="2" t="inlineStr">
        <is>
          <t>Prof. Elena Rostova</t>
        </is>
      </c>
      <c r="N12" s="2" t="inlineStr">
        <is>
          <t>Pending</t>
        </is>
      </c>
      <c r="O12" s="2" t="inlineStr">
        <is>
          <t>2026-11-02</t>
        </is>
      </c>
    </row>
    <row r="13">
      <c r="A13" s="3" t="inlineStr">
        <is>
          <t>REV-STU-087-1</t>
        </is>
      </c>
      <c r="B13" s="3" t="inlineStr">
        <is>
          <t>STU-087</t>
        </is>
      </c>
      <c r="C13" s="3" t="inlineStr">
        <is>
          <t>Gita Wilson</t>
        </is>
      </c>
      <c r="D13" s="3" t="inlineStr">
        <is>
          <t>student087@example-interns.edu</t>
        </is>
      </c>
      <c r="E13" s="3" t="inlineStr">
        <is>
          <t>TASK-DATA-301</t>
        </is>
      </c>
      <c r="F13" s="3" t="n">
        <v>1</v>
      </c>
      <c r="G13" s="3" t="inlineStr">
        <is>
          <t>2026-10-26</t>
        </is>
      </c>
      <c r="H13" s="3" t="inlineStr">
        <is>
          <t>17:00</t>
        </is>
      </c>
      <c r="I13" s="3" t="inlineStr">
        <is>
          <t>Asia/Kolkata</t>
        </is>
      </c>
      <c r="J13" s="3" t="inlineStr">
        <is>
          <t>https://meet.google.com/rev-stu-087</t>
        </is>
      </c>
      <c r="K13" s="3" t="inlineStr">
        <is>
          <t>Pending</t>
        </is>
      </c>
      <c r="L13" s="3" t="inlineStr">
        <is>
          <t>Scheduled</t>
        </is>
      </c>
      <c r="M13" s="3" t="inlineStr">
        <is>
          <t>Sarah Jenkins</t>
        </is>
      </c>
      <c r="N13" s="3" t="inlineStr">
        <is>
          <t>Pending</t>
        </is>
      </c>
      <c r="O13" s="3" t="inlineStr">
        <is>
          <t>2026-11-02</t>
        </is>
      </c>
    </row>
    <row r="14">
      <c r="A14" s="2" t="inlineStr">
        <is>
          <t>REV-STU-088-1</t>
        </is>
      </c>
      <c r="B14" s="2" t="inlineStr">
        <is>
          <t>STU-088</t>
        </is>
      </c>
      <c r="C14" s="2" t="inlineStr">
        <is>
          <t>Henry Taylor</t>
        </is>
      </c>
      <c r="D14" s="2" t="inlineStr">
        <is>
          <t>student088@example-interns.edu</t>
        </is>
      </c>
      <c r="E14" s="2" t="inlineStr">
        <is>
          <t>TASK-DEVO-402</t>
        </is>
      </c>
      <c r="F14" s="2" t="n">
        <v>1</v>
      </c>
      <c r="G14" s="2" t="inlineStr">
        <is>
          <t>2026-10-26</t>
        </is>
      </c>
      <c r="H14" s="2" t="inlineStr">
        <is>
          <t>17:00</t>
        </is>
      </c>
      <c r="I14" s="2" t="inlineStr">
        <is>
          <t>Asia/Kolkata</t>
        </is>
      </c>
      <c r="J14" s="2" t="inlineStr">
        <is>
          <t>https://meet.google.com/rev-stu-088</t>
        </is>
      </c>
      <c r="K14" s="2" t="inlineStr">
        <is>
          <t>Pending</t>
        </is>
      </c>
      <c r="L14" s="2" t="inlineStr">
        <is>
          <t>Scheduled</t>
        </is>
      </c>
      <c r="M14" s="2" t="inlineStr">
        <is>
          <t>Rajiv Mehta</t>
        </is>
      </c>
      <c r="N14" s="2" t="inlineStr">
        <is>
          <t>Pending</t>
        </is>
      </c>
      <c r="O14" s="2" t="inlineStr">
        <is>
          <t>2026-11-02</t>
        </is>
      </c>
    </row>
    <row r="15">
      <c r="A15" s="3" t="inlineStr">
        <is>
          <t>REV-STU-021-2</t>
        </is>
      </c>
      <c r="B15" s="3" t="inlineStr">
        <is>
          <t>STU-021</t>
        </is>
      </c>
      <c r="C15" s="3" t="inlineStr">
        <is>
          <t>Olivia Thomas</t>
        </is>
      </c>
      <c r="D15" s="3" t="inlineStr">
        <is>
          <t>student021@example-interns.edu</t>
        </is>
      </c>
      <c r="E15" s="3" t="inlineStr">
        <is>
          <t>TASK-DATA-301</t>
        </is>
      </c>
      <c r="F15" s="3" t="n">
        <v>2</v>
      </c>
      <c r="G15" s="3" t="inlineStr">
        <is>
          <t>2026-10-27</t>
        </is>
      </c>
      <c r="H15" s="3" t="inlineStr">
        <is>
          <t>11:30</t>
        </is>
      </c>
      <c r="I15" s="3" t="inlineStr">
        <is>
          <t>Asia/Kolkata</t>
        </is>
      </c>
      <c r="J15" s="3" t="inlineStr">
        <is>
          <t>https://meet.google.com/rev-stu-021</t>
        </is>
      </c>
      <c r="K15" s="3" t="inlineStr">
        <is>
          <t>Submitted</t>
        </is>
      </c>
      <c r="L15" s="3" t="inlineStr">
        <is>
          <t>Scheduled</t>
        </is>
      </c>
      <c r="M15" s="3" t="inlineStr">
        <is>
          <t>Sarah Jenkins</t>
        </is>
      </c>
      <c r="N15" s="3" t="inlineStr">
        <is>
          <t>Pending</t>
        </is>
      </c>
      <c r="O15" s="3" t="inlineStr">
        <is>
          <t>2026-11-03</t>
        </is>
      </c>
    </row>
    <row r="16">
      <c r="A16" s="2" t="inlineStr">
        <is>
          <t>REV-STU-022-2</t>
        </is>
      </c>
      <c r="B16" s="2" t="inlineStr">
        <is>
          <t>STU-022</t>
        </is>
      </c>
      <c r="C16" s="2" t="inlineStr">
        <is>
          <t>Priya Jackson</t>
        </is>
      </c>
      <c r="D16" s="2" t="inlineStr">
        <is>
          <t>student022@example-interns.edu</t>
        </is>
      </c>
      <c r="E16" s="2" t="inlineStr">
        <is>
          <t>TASK-DEVO-402</t>
        </is>
      </c>
      <c r="F16" s="2" t="n">
        <v>2</v>
      </c>
      <c r="G16" s="2" t="inlineStr">
        <is>
          <t>2026-10-27</t>
        </is>
      </c>
      <c r="H16" s="2" t="inlineStr">
        <is>
          <t>11:30</t>
        </is>
      </c>
      <c r="I16" s="2" t="inlineStr">
        <is>
          <t>Asia/Kolkata</t>
        </is>
      </c>
      <c r="J16" s="2" t="inlineStr">
        <is>
          <t>https://meet.google.com/rev-stu-022</t>
        </is>
      </c>
      <c r="K16" s="2" t="inlineStr">
        <is>
          <t>Submitted</t>
        </is>
      </c>
      <c r="L16" s="2" t="inlineStr">
        <is>
          <t>Reminder Sent</t>
        </is>
      </c>
      <c r="M16" s="2" t="inlineStr">
        <is>
          <t>Rajiv Mehta</t>
        </is>
      </c>
      <c r="N16" s="2" t="inlineStr">
        <is>
          <t>Pending</t>
        </is>
      </c>
      <c r="O16" s="2" t="inlineStr">
        <is>
          <t>2026-11-03</t>
        </is>
      </c>
    </row>
    <row r="17">
      <c r="A17" s="3" t="inlineStr">
        <is>
          <t>REV-STU-023-2</t>
        </is>
      </c>
      <c r="B17" s="3" t="inlineStr">
        <is>
          <t>STU-023</t>
        </is>
      </c>
      <c r="C17" s="3" t="inlineStr">
        <is>
          <t>Quentin Perez</t>
        </is>
      </c>
      <c r="D17" s="3" t="inlineStr">
        <is>
          <t>student023@example-interns.edu</t>
        </is>
      </c>
      <c r="E17" s="3" t="inlineStr">
        <is>
          <t>TASK-MOBL-501</t>
        </is>
      </c>
      <c r="F17" s="3" t="n">
        <v>2</v>
      </c>
      <c r="G17" s="3" t="inlineStr">
        <is>
          <t>2026-10-27</t>
        </is>
      </c>
      <c r="H17" s="3" t="inlineStr">
        <is>
          <t>11:30</t>
        </is>
      </c>
      <c r="I17" s="3" t="inlineStr">
        <is>
          <t>Asia/Kolkata</t>
        </is>
      </c>
      <c r="J17" s="3" t="inlineStr">
        <is>
          <t>https://meet.google.com/rev-stu-023</t>
        </is>
      </c>
      <c r="K17" s="3" t="inlineStr">
        <is>
          <t>Submitted</t>
        </is>
      </c>
      <c r="L17" s="3" t="inlineStr">
        <is>
          <t>Reminder Sent</t>
        </is>
      </c>
      <c r="M17" s="3" t="inlineStr">
        <is>
          <t>Marcus Chen</t>
        </is>
      </c>
      <c r="N17" s="3" t="inlineStr">
        <is>
          <t>Pending</t>
        </is>
      </c>
      <c r="O17" s="3" t="inlineStr">
        <is>
          <t>2026-11-03</t>
        </is>
      </c>
    </row>
    <row r="18">
      <c r="A18" s="2" t="inlineStr">
        <is>
          <t>REV-STU-024-2</t>
        </is>
      </c>
      <c r="B18" s="2" t="inlineStr">
        <is>
          <t>STU-024</t>
        </is>
      </c>
      <c r="C18" s="2" t="inlineStr">
        <is>
          <t>Rohan Harris</t>
        </is>
      </c>
      <c r="D18" s="2" t="inlineStr">
        <is>
          <t>student024@example-interns.edu</t>
        </is>
      </c>
      <c r="E18" s="2" t="inlineStr">
        <is>
          <t>TASK-CYBR-602</t>
        </is>
      </c>
      <c r="F18" s="2" t="n">
        <v>2</v>
      </c>
      <c r="G18" s="2" t="inlineStr">
        <is>
          <t>2026-10-27</t>
        </is>
      </c>
      <c r="H18" s="2" t="inlineStr">
        <is>
          <t>11:30</t>
        </is>
      </c>
      <c r="I18" s="2" t="inlineStr">
        <is>
          <t>Asia/Kolkata</t>
        </is>
      </c>
      <c r="J18" s="2" t="inlineStr">
        <is>
          <t>https://meet.google.com/rev-stu-024</t>
        </is>
      </c>
      <c r="K18" s="2" t="inlineStr">
        <is>
          <t>Submitted</t>
        </is>
      </c>
      <c r="L18" s="2" t="inlineStr">
        <is>
          <t>Reminder Sent</t>
        </is>
      </c>
      <c r="M18" s="2" t="inlineStr">
        <is>
          <t>Nadia Al-Mansoor</t>
        </is>
      </c>
      <c r="N18" s="2" t="inlineStr">
        <is>
          <t>Pending</t>
        </is>
      </c>
      <c r="O18" s="2" t="inlineStr">
        <is>
          <t>2026-11-03</t>
        </is>
      </c>
    </row>
    <row r="19">
      <c r="A19" s="3" t="inlineStr">
        <is>
          <t>REV-STU-025-2</t>
        </is>
      </c>
      <c r="B19" s="3" t="inlineStr">
        <is>
          <t>STU-025</t>
        </is>
      </c>
      <c r="C19" s="3" t="inlineStr">
        <is>
          <t>Sophia Ramirez</t>
        </is>
      </c>
      <c r="D19" s="3" t="inlineStr">
        <is>
          <t>student025@example-interns.edu</t>
        </is>
      </c>
      <c r="E19" s="3" t="inlineStr">
        <is>
          <t>TASK-AIML-101</t>
        </is>
      </c>
      <c r="F19" s="3" t="n">
        <v>2</v>
      </c>
      <c r="G19" s="3" t="inlineStr">
        <is>
          <t>2026-10-27</t>
        </is>
      </c>
      <c r="H19" s="3" t="inlineStr">
        <is>
          <t>11:30</t>
        </is>
      </c>
      <c r="I19" s="3" t="inlineStr">
        <is>
          <t>Asia/Kolkata</t>
        </is>
      </c>
      <c r="J19" s="3" t="inlineStr">
        <is>
          <t>https://meet.google.com/rev-stu-025</t>
        </is>
      </c>
      <c r="K19" s="3" t="inlineStr">
        <is>
          <t>Submitted</t>
        </is>
      </c>
      <c r="L19" s="3" t="inlineStr">
        <is>
          <t>Reminder Sent</t>
        </is>
      </c>
      <c r="M19" s="3" t="inlineStr">
        <is>
          <t>Dr. Aris Thorne</t>
        </is>
      </c>
      <c r="N19" s="3" t="inlineStr">
        <is>
          <t>Pending</t>
        </is>
      </c>
      <c r="O19" s="3" t="inlineStr">
        <is>
          <t>2026-11-03</t>
        </is>
      </c>
    </row>
    <row r="20">
      <c r="A20" s="2" t="inlineStr">
        <is>
          <t>REV-STU-026-2</t>
        </is>
      </c>
      <c r="B20" s="2" t="inlineStr">
        <is>
          <t>STU-026</t>
        </is>
      </c>
      <c r="C20" s="2" t="inlineStr">
        <is>
          <t>Tariq Walker</t>
        </is>
      </c>
      <c r="D20" s="2" t="inlineStr">
        <is>
          <t>student026@example-interns.edu</t>
        </is>
      </c>
      <c r="E20" s="2" t="inlineStr">
        <is>
          <t>TASK-FSWD-202</t>
        </is>
      </c>
      <c r="F20" s="2" t="n">
        <v>2</v>
      </c>
      <c r="G20" s="2" t="inlineStr">
        <is>
          <t>2026-10-27</t>
        </is>
      </c>
      <c r="H20" s="2" t="inlineStr">
        <is>
          <t>11:30</t>
        </is>
      </c>
      <c r="I20" s="2" t="inlineStr">
        <is>
          <t>Asia/Kolkata</t>
        </is>
      </c>
      <c r="J20" s="2" t="inlineStr">
        <is>
          <t>https://meet.google.com/rev-stu-026</t>
        </is>
      </c>
      <c r="K20" s="2" t="inlineStr">
        <is>
          <t>Submitted</t>
        </is>
      </c>
      <c r="L20" s="2" t="inlineStr">
        <is>
          <t>Reminder Sent</t>
        </is>
      </c>
      <c r="M20" s="2" t="inlineStr">
        <is>
          <t>Prof. Elena Rostova</t>
        </is>
      </c>
      <c r="N20" s="2" t="inlineStr">
        <is>
          <t>Pending</t>
        </is>
      </c>
      <c r="O20" s="2" t="inlineStr">
        <is>
          <t>2026-11-03</t>
        </is>
      </c>
    </row>
    <row r="21">
      <c r="A21" s="3" t="inlineStr">
        <is>
          <t>REV-STU-027-2</t>
        </is>
      </c>
      <c r="B21" s="3" t="inlineStr">
        <is>
          <t>STU-027</t>
        </is>
      </c>
      <c r="C21" s="3" t="inlineStr">
        <is>
          <t>Uma King</t>
        </is>
      </c>
      <c r="D21" s="3" t="inlineStr">
        <is>
          <t>student027@example-interns.edu</t>
        </is>
      </c>
      <c r="E21" s="3" t="inlineStr">
        <is>
          <t>TASK-DATA-301</t>
        </is>
      </c>
      <c r="F21" s="3" t="n">
        <v>2</v>
      </c>
      <c r="G21" s="3" t="inlineStr">
        <is>
          <t>2026-10-27</t>
        </is>
      </c>
      <c r="H21" s="3" t="inlineStr">
        <is>
          <t>11:30</t>
        </is>
      </c>
      <c r="I21" s="3" t="inlineStr">
        <is>
          <t>Asia/Kolkata</t>
        </is>
      </c>
      <c r="J21" s="3" t="inlineStr">
        <is>
          <t>https://meet.google.com/rev-stu-027</t>
        </is>
      </c>
      <c r="K21" s="3" t="inlineStr">
        <is>
          <t>Submitted</t>
        </is>
      </c>
      <c r="L21" s="3" t="inlineStr">
        <is>
          <t>Reminder Sent</t>
        </is>
      </c>
      <c r="M21" s="3" t="inlineStr">
        <is>
          <t>Sarah Jenkins</t>
        </is>
      </c>
      <c r="N21" s="3" t="inlineStr">
        <is>
          <t>Pending</t>
        </is>
      </c>
      <c r="O21" s="3" t="inlineStr">
        <is>
          <t>2026-11-03</t>
        </is>
      </c>
    </row>
    <row r="22">
      <c r="A22" s="2" t="inlineStr">
        <is>
          <t>REV-STU-028-2</t>
        </is>
      </c>
      <c r="B22" s="2" t="inlineStr">
        <is>
          <t>STU-028</t>
        </is>
      </c>
      <c r="C22" s="2" t="inlineStr">
        <is>
          <t>Victor Torres</t>
        </is>
      </c>
      <c r="D22" s="2" t="inlineStr">
        <is>
          <t>student028@example-interns.edu</t>
        </is>
      </c>
      <c r="E22" s="2" t="inlineStr">
        <is>
          <t>TASK-DEVO-402</t>
        </is>
      </c>
      <c r="F22" s="2" t="n">
        <v>2</v>
      </c>
      <c r="G22" s="2" t="inlineStr">
        <is>
          <t>2026-10-27</t>
        </is>
      </c>
      <c r="H22" s="2" t="inlineStr">
        <is>
          <t>11:30</t>
        </is>
      </c>
      <c r="I22" s="2" t="inlineStr">
        <is>
          <t>Asia/Kolkata</t>
        </is>
      </c>
      <c r="J22" s="2" t="inlineStr">
        <is>
          <t>https://meet.google.com/rev-stu-028</t>
        </is>
      </c>
      <c r="K22" s="2" t="inlineStr">
        <is>
          <t>Submitted</t>
        </is>
      </c>
      <c r="L22" s="2" t="inlineStr">
        <is>
          <t>Reminder Sent</t>
        </is>
      </c>
      <c r="M22" s="2" t="inlineStr">
        <is>
          <t>Rajiv Mehta</t>
        </is>
      </c>
      <c r="N22" s="2" t="inlineStr">
        <is>
          <t>Pending</t>
        </is>
      </c>
      <c r="O22" s="2" t="inlineStr">
        <is>
          <t>2026-11-03</t>
        </is>
      </c>
    </row>
    <row r="23">
      <c r="A23" s="3" t="inlineStr">
        <is>
          <t>REV-STU-029-2</t>
        </is>
      </c>
      <c r="B23" s="3" t="inlineStr">
        <is>
          <t>STU-029</t>
        </is>
      </c>
      <c r="C23" s="3" t="inlineStr">
        <is>
          <t>Wei Flores</t>
        </is>
      </c>
      <c r="D23" s="3" t="inlineStr">
        <is>
          <t>student029@example-interns.edu</t>
        </is>
      </c>
      <c r="E23" s="3" t="inlineStr">
        <is>
          <t>TASK-MOBL-501</t>
        </is>
      </c>
      <c r="F23" s="3" t="n">
        <v>2</v>
      </c>
      <c r="G23" s="3" t="inlineStr">
        <is>
          <t>2026-10-27</t>
        </is>
      </c>
      <c r="H23" s="3" t="inlineStr">
        <is>
          <t>11:30</t>
        </is>
      </c>
      <c r="I23" s="3" t="inlineStr">
        <is>
          <t>Asia/Kolkata</t>
        </is>
      </c>
      <c r="J23" s="3" t="inlineStr">
        <is>
          <t>https://meet.google.com/rev-stu-029</t>
        </is>
      </c>
      <c r="K23" s="3" t="inlineStr">
        <is>
          <t>Submitted</t>
        </is>
      </c>
      <c r="L23" s="3" t="inlineStr">
        <is>
          <t>Reminder Sent</t>
        </is>
      </c>
      <c r="M23" s="3" t="inlineStr">
        <is>
          <t>Marcus Chen</t>
        </is>
      </c>
      <c r="N23" s="3" t="inlineStr">
        <is>
          <t>Pending</t>
        </is>
      </c>
      <c r="O23" s="3" t="inlineStr">
        <is>
          <t>2026-11-03</t>
        </is>
      </c>
    </row>
    <row r="24">
      <c r="A24" s="2" t="inlineStr">
        <is>
          <t>REV-STU-030-2</t>
        </is>
      </c>
      <c r="B24" s="2" t="inlineStr">
        <is>
          <t>STU-030</t>
        </is>
      </c>
      <c r="C24" s="2" t="inlineStr">
        <is>
          <t>Zara Nelson</t>
        </is>
      </c>
      <c r="D24" s="2" t="inlineStr">
        <is>
          <t>student030@example-interns.edu</t>
        </is>
      </c>
      <c r="E24" s="2" t="inlineStr">
        <is>
          <t>TASK-CYBR-602</t>
        </is>
      </c>
      <c r="F24" s="2" t="n">
        <v>2</v>
      </c>
      <c r="G24" s="2" t="inlineStr">
        <is>
          <t>2026-10-27</t>
        </is>
      </c>
      <c r="H24" s="2" t="inlineStr">
        <is>
          <t>11:30</t>
        </is>
      </c>
      <c r="I24" s="2" t="inlineStr">
        <is>
          <t>Asia/Kolkata</t>
        </is>
      </c>
      <c r="J24" s="2" t="inlineStr">
        <is>
          <t>https://meet.google.com/rev-stu-030</t>
        </is>
      </c>
      <c r="K24" s="2" t="inlineStr">
        <is>
          <t>Submitted</t>
        </is>
      </c>
      <c r="L24" s="2" t="inlineStr">
        <is>
          <t>Reminder Sent</t>
        </is>
      </c>
      <c r="M24" s="2" t="inlineStr">
        <is>
          <t>Nadia Al-Mansoor</t>
        </is>
      </c>
      <c r="N24" s="2" t="inlineStr">
        <is>
          <t>Pending</t>
        </is>
      </c>
      <c r="O24" s="2" t="inlineStr">
        <is>
          <t>2026-11-03</t>
        </is>
      </c>
    </row>
    <row r="25">
      <c r="A25" s="3" t="inlineStr">
        <is>
          <t>REV-STU-031-2</t>
        </is>
      </c>
      <c r="B25" s="3" t="inlineStr">
        <is>
          <t>STU-031</t>
        </is>
      </c>
      <c r="C25" s="3" t="inlineStr">
        <is>
          <t>Ananya Rivera</t>
        </is>
      </c>
      <c r="D25" s="3" t="inlineStr">
        <is>
          <t>student031@example-interns.edu</t>
        </is>
      </c>
      <c r="E25" s="3" t="inlineStr">
        <is>
          <t>TASK-AIML-101</t>
        </is>
      </c>
      <c r="F25" s="3" t="n">
        <v>2</v>
      </c>
      <c r="G25" s="3" t="inlineStr">
        <is>
          <t>2026-10-27</t>
        </is>
      </c>
      <c r="H25" s="3" t="inlineStr">
        <is>
          <t>11:30</t>
        </is>
      </c>
      <c r="I25" s="3" t="inlineStr">
        <is>
          <t>Asia/Kolkata</t>
        </is>
      </c>
      <c r="J25" s="3" t="inlineStr">
        <is>
          <t>https://meet.google.com/rev-stu-031</t>
        </is>
      </c>
      <c r="K25" s="3" t="inlineStr">
        <is>
          <t>Submitted</t>
        </is>
      </c>
      <c r="L25" s="3" t="inlineStr">
        <is>
          <t>Reminder Sent</t>
        </is>
      </c>
      <c r="M25" s="3" t="inlineStr">
        <is>
          <t>Dr. Aris Thorne</t>
        </is>
      </c>
      <c r="N25" s="3" t="inlineStr">
        <is>
          <t>Pending</t>
        </is>
      </c>
      <c r="O25" s="3" t="inlineStr">
        <is>
          <t>2026-11-03</t>
        </is>
      </c>
    </row>
    <row r="26">
      <c r="A26" s="2" t="inlineStr">
        <is>
          <t>REV-STU-032-2</t>
        </is>
      </c>
      <c r="B26" s="2" t="inlineStr">
        <is>
          <t>STU-032</t>
        </is>
      </c>
      <c r="C26" s="2" t="inlineStr">
        <is>
          <t>Brian Patel</t>
        </is>
      </c>
      <c r="D26" s="2" t="inlineStr">
        <is>
          <t>student032@example-interns.edu</t>
        </is>
      </c>
      <c r="E26" s="2" t="inlineStr">
        <is>
          <t>TASK-FSWD-202</t>
        </is>
      </c>
      <c r="F26" s="2" t="n">
        <v>2</v>
      </c>
      <c r="G26" s="2" t="inlineStr">
        <is>
          <t>2026-10-27</t>
        </is>
      </c>
      <c r="H26" s="2" t="inlineStr">
        <is>
          <t>11:30</t>
        </is>
      </c>
      <c r="I26" s="2" t="inlineStr">
        <is>
          <t>Asia/Kolkata</t>
        </is>
      </c>
      <c r="J26" s="2" t="inlineStr">
        <is>
          <t>https://meet.google.com/rev-stu-032</t>
        </is>
      </c>
      <c r="K26" s="2" t="inlineStr">
        <is>
          <t>Submitted</t>
        </is>
      </c>
      <c r="L26" s="2" t="inlineStr">
        <is>
          <t>Reminder Sent</t>
        </is>
      </c>
      <c r="M26" s="2" t="inlineStr">
        <is>
          <t>Prof. Elena Rostova</t>
        </is>
      </c>
      <c r="N26" s="2" t="inlineStr">
        <is>
          <t>Pending</t>
        </is>
      </c>
      <c r="O26" s="2" t="inlineStr">
        <is>
          <t>2026-11-03</t>
        </is>
      </c>
    </row>
    <row r="27">
      <c r="A27" s="3" t="inlineStr">
        <is>
          <t>REV-STU-033-2</t>
        </is>
      </c>
      <c r="B27" s="3" t="inlineStr">
        <is>
          <t>STU-033</t>
        </is>
      </c>
      <c r="C27" s="3" t="inlineStr">
        <is>
          <t>Camila Johnson</t>
        </is>
      </c>
      <c r="D27" s="3" t="inlineStr">
        <is>
          <t>student033@example-interns.edu</t>
        </is>
      </c>
      <c r="E27" s="3" t="inlineStr">
        <is>
          <t>TASK-DATA-301</t>
        </is>
      </c>
      <c r="F27" s="3" t="n">
        <v>2</v>
      </c>
      <c r="G27" s="3" t="inlineStr">
        <is>
          <t>2026-10-27</t>
        </is>
      </c>
      <c r="H27" s="3" t="inlineStr">
        <is>
          <t>11:30</t>
        </is>
      </c>
      <c r="I27" s="3" t="inlineStr">
        <is>
          <t>Asia/Kolkata</t>
        </is>
      </c>
      <c r="J27" s="3" t="inlineStr">
        <is>
          <t>https://meet.google.com/rev-stu-033</t>
        </is>
      </c>
      <c r="K27" s="3" t="inlineStr">
        <is>
          <t>Submitted</t>
        </is>
      </c>
      <c r="L27" s="3" t="inlineStr">
        <is>
          <t>Reminder Sent</t>
        </is>
      </c>
      <c r="M27" s="3" t="inlineStr">
        <is>
          <t>Sarah Jenkins</t>
        </is>
      </c>
      <c r="N27" s="3" t="inlineStr">
        <is>
          <t>Pending</t>
        </is>
      </c>
      <c r="O27" s="3" t="inlineStr">
        <is>
          <t>2026-11-03</t>
        </is>
      </c>
    </row>
    <row r="28">
      <c r="A28" s="2" t="inlineStr">
        <is>
          <t>REV-STU-034-2</t>
        </is>
      </c>
      <c r="B28" s="2" t="inlineStr">
        <is>
          <t>STU-034</t>
        </is>
      </c>
      <c r="C28" s="2" t="inlineStr">
        <is>
          <t>Daniel Jones</t>
        </is>
      </c>
      <c r="D28" s="2" t="inlineStr">
        <is>
          <t>student034@example-interns.edu</t>
        </is>
      </c>
      <c r="E28" s="2" t="inlineStr">
        <is>
          <t>TASK-DEVO-402</t>
        </is>
      </c>
      <c r="F28" s="2" t="n">
        <v>2</v>
      </c>
      <c r="G28" s="2" t="inlineStr">
        <is>
          <t>2026-10-27</t>
        </is>
      </c>
      <c r="H28" s="2" t="inlineStr">
        <is>
          <t>11:30</t>
        </is>
      </c>
      <c r="I28" s="2" t="inlineStr">
        <is>
          <t>Asia/Kolkata</t>
        </is>
      </c>
      <c r="J28" s="2" t="inlineStr">
        <is>
          <t>https://meet.google.com/rev-stu-034</t>
        </is>
      </c>
      <c r="K28" s="2" t="inlineStr">
        <is>
          <t>Submitted</t>
        </is>
      </c>
      <c r="L28" s="2" t="inlineStr">
        <is>
          <t>Reminder Sent</t>
        </is>
      </c>
      <c r="M28" s="2" t="inlineStr">
        <is>
          <t>Rajiv Mehta</t>
        </is>
      </c>
      <c r="N28" s="2" t="inlineStr">
        <is>
          <t>Pending</t>
        </is>
      </c>
      <c r="O28" s="2" t="inlineStr">
        <is>
          <t>2026-11-03</t>
        </is>
      </c>
    </row>
    <row r="29">
      <c r="A29" s="3" t="inlineStr">
        <is>
          <t>REV-STU-035-2</t>
        </is>
      </c>
      <c r="B29" s="3" t="inlineStr">
        <is>
          <t>STU-035</t>
        </is>
      </c>
      <c r="C29" s="3" t="inlineStr">
        <is>
          <t>Emma Davis</t>
        </is>
      </c>
      <c r="D29" s="3" t="inlineStr">
        <is>
          <t>student035@example-interns.edu</t>
        </is>
      </c>
      <c r="E29" s="3" t="inlineStr">
        <is>
          <t>TASK-MOBL-501</t>
        </is>
      </c>
      <c r="F29" s="3" t="n">
        <v>2</v>
      </c>
      <c r="G29" s="3" t="inlineStr">
        <is>
          <t>2026-10-27</t>
        </is>
      </c>
      <c r="H29" s="3" t="inlineStr">
        <is>
          <t>11:30</t>
        </is>
      </c>
      <c r="I29" s="3" t="inlineStr">
        <is>
          <t>Asia/Kolkata</t>
        </is>
      </c>
      <c r="J29" s="3" t="inlineStr">
        <is>
          <t>https://meet.google.com/rev-stu-035</t>
        </is>
      </c>
      <c r="K29" s="3" t="inlineStr">
        <is>
          <t>Submitted</t>
        </is>
      </c>
      <c r="L29" s="3" t="inlineStr">
        <is>
          <t>Reminder Sent</t>
        </is>
      </c>
      <c r="M29" s="3" t="inlineStr">
        <is>
          <t>Marcus Chen</t>
        </is>
      </c>
      <c r="N29" s="3" t="inlineStr">
        <is>
          <t>Pending</t>
        </is>
      </c>
      <c r="O29" s="3" t="inlineStr">
        <is>
          <t>2026-11-03</t>
        </is>
      </c>
    </row>
    <row r="30">
      <c r="A30" s="2" t="inlineStr">
        <is>
          <t>REV-STU-036-2</t>
        </is>
      </c>
      <c r="B30" s="2" t="inlineStr">
        <is>
          <t>STU-036</t>
        </is>
      </c>
      <c r="C30" s="2" t="inlineStr">
        <is>
          <t>Farhan Hernandez</t>
        </is>
      </c>
      <c r="D30" s="2" t="inlineStr">
        <is>
          <t>student036@example-interns.edu</t>
        </is>
      </c>
      <c r="E30" s="2" t="inlineStr">
        <is>
          <t>TASK-CYBR-602</t>
        </is>
      </c>
      <c r="F30" s="2" t="n">
        <v>2</v>
      </c>
      <c r="G30" s="2" t="inlineStr">
        <is>
          <t>2026-10-27</t>
        </is>
      </c>
      <c r="H30" s="2" t="inlineStr">
        <is>
          <t>11:30</t>
        </is>
      </c>
      <c r="I30" s="2" t="inlineStr">
        <is>
          <t>Asia/Kolkata</t>
        </is>
      </c>
      <c r="J30" s="2" t="inlineStr">
        <is>
          <t>https://meet.google.com/rev-stu-036</t>
        </is>
      </c>
      <c r="K30" s="2" t="inlineStr">
        <is>
          <t>Submitted</t>
        </is>
      </c>
      <c r="L30" s="2" t="inlineStr">
        <is>
          <t>Reminder Sent</t>
        </is>
      </c>
      <c r="M30" s="2" t="inlineStr">
        <is>
          <t>Nadia Al-Mansoor</t>
        </is>
      </c>
      <c r="N30" s="2" t="inlineStr">
        <is>
          <t>Pending</t>
        </is>
      </c>
      <c r="O30" s="2" t="inlineStr">
        <is>
          <t>2026-11-03</t>
        </is>
      </c>
    </row>
    <row r="31">
      <c r="A31" s="3" t="inlineStr">
        <is>
          <t>REV-STU-037-2</t>
        </is>
      </c>
      <c r="B31" s="3" t="inlineStr">
        <is>
          <t>STU-037</t>
        </is>
      </c>
      <c r="C31" s="3" t="inlineStr">
        <is>
          <t>Gita Wilson</t>
        </is>
      </c>
      <c r="D31" s="3" t="inlineStr">
        <is>
          <t>student037@example-interns.edu</t>
        </is>
      </c>
      <c r="E31" s="3" t="inlineStr">
        <is>
          <t>TASK-AIML-101</t>
        </is>
      </c>
      <c r="F31" s="3" t="n">
        <v>2</v>
      </c>
      <c r="G31" s="3" t="inlineStr">
        <is>
          <t>2026-10-27</t>
        </is>
      </c>
      <c r="H31" s="3" t="inlineStr">
        <is>
          <t>11:30</t>
        </is>
      </c>
      <c r="I31" s="3" t="inlineStr">
        <is>
          <t>Asia/Kolkata</t>
        </is>
      </c>
      <c r="J31" s="3" t="inlineStr">
        <is>
          <t>https://meet.google.com/rev-stu-037</t>
        </is>
      </c>
      <c r="K31" s="3" t="inlineStr">
        <is>
          <t>Submitted</t>
        </is>
      </c>
      <c r="L31" s="3" t="inlineStr">
        <is>
          <t>Reminder Sent</t>
        </is>
      </c>
      <c r="M31" s="3" t="inlineStr">
        <is>
          <t>Dr. Aris Thorne</t>
        </is>
      </c>
      <c r="N31" s="3" t="inlineStr">
        <is>
          <t>Pending</t>
        </is>
      </c>
      <c r="O31" s="3" t="inlineStr">
        <is>
          <t>2026-11-03</t>
        </is>
      </c>
    </row>
    <row r="32">
      <c r="A32" s="2" t="inlineStr">
        <is>
          <t>REV-STU-038-2</t>
        </is>
      </c>
      <c r="B32" s="2" t="inlineStr">
        <is>
          <t>STU-038</t>
        </is>
      </c>
      <c r="C32" s="2" t="inlineStr">
        <is>
          <t>Henry Taylor</t>
        </is>
      </c>
      <c r="D32" s="2" t="inlineStr">
        <is>
          <t>student038@example-interns.edu</t>
        </is>
      </c>
      <c r="E32" s="2" t="inlineStr">
        <is>
          <t>TASK-FSWD-202</t>
        </is>
      </c>
      <c r="F32" s="2" t="n">
        <v>2</v>
      </c>
      <c r="G32" s="2" t="inlineStr">
        <is>
          <t>2026-10-27</t>
        </is>
      </c>
      <c r="H32" s="2" t="inlineStr">
        <is>
          <t>11:30</t>
        </is>
      </c>
      <c r="I32" s="2" t="inlineStr">
        <is>
          <t>Asia/Kolkata</t>
        </is>
      </c>
      <c r="J32" s="2" t="inlineStr">
        <is>
          <t>https://meet.google.com/rev-stu-038</t>
        </is>
      </c>
      <c r="K32" s="2" t="inlineStr">
        <is>
          <t>Submitted</t>
        </is>
      </c>
      <c r="L32" s="2" t="inlineStr">
        <is>
          <t>Reminder Sent</t>
        </is>
      </c>
      <c r="M32" s="2" t="inlineStr">
        <is>
          <t>Prof. Elena Rostova</t>
        </is>
      </c>
      <c r="N32" s="2" t="inlineStr">
        <is>
          <t>Pending</t>
        </is>
      </c>
      <c r="O32" s="2" t="inlineStr">
        <is>
          <t>2026-11-03</t>
        </is>
      </c>
    </row>
    <row r="33">
      <c r="A33" s="3" t="inlineStr">
        <is>
          <t>REV-STU-039-2</t>
        </is>
      </c>
      <c r="B33" s="3" t="inlineStr">
        <is>
          <t>STU-039</t>
        </is>
      </c>
      <c r="C33" s="3" t="inlineStr">
        <is>
          <t>Ines Martin</t>
        </is>
      </c>
      <c r="D33" s="3" t="inlineStr">
        <is>
          <t>student039@example-interns.edu</t>
        </is>
      </c>
      <c r="E33" s="3" t="inlineStr">
        <is>
          <t>TASK-DATA-301</t>
        </is>
      </c>
      <c r="F33" s="3" t="n">
        <v>2</v>
      </c>
      <c r="G33" s="3" t="inlineStr">
        <is>
          <t>2026-10-27</t>
        </is>
      </c>
      <c r="H33" s="3" t="inlineStr">
        <is>
          <t>11:30</t>
        </is>
      </c>
      <c r="I33" s="3" t="inlineStr">
        <is>
          <t>Asia/Kolkata</t>
        </is>
      </c>
      <c r="J33" s="3" t="inlineStr">
        <is>
          <t>https://meet.google.com/rev-stu-039</t>
        </is>
      </c>
      <c r="K33" s="3" t="inlineStr">
        <is>
          <t>Submitted</t>
        </is>
      </c>
      <c r="L33" s="3" t="inlineStr">
        <is>
          <t>Reminder Sent</t>
        </is>
      </c>
      <c r="M33" s="3" t="inlineStr">
        <is>
          <t>Sarah Jenkins</t>
        </is>
      </c>
      <c r="N33" s="3" t="inlineStr">
        <is>
          <t>Pending</t>
        </is>
      </c>
      <c r="O33" s="3" t="inlineStr">
        <is>
          <t>2026-11-03</t>
        </is>
      </c>
    </row>
    <row r="34">
      <c r="A34" s="2" t="inlineStr">
        <is>
          <t>REV-STU-040-2</t>
        </is>
      </c>
      <c r="B34" s="2" t="inlineStr">
        <is>
          <t>STU-040</t>
        </is>
      </c>
      <c r="C34" s="2" t="inlineStr">
        <is>
          <t>Jack Thompson</t>
        </is>
      </c>
      <c r="D34" s="2" t="inlineStr">
        <is>
          <t>student040@example-interns.edu</t>
        </is>
      </c>
      <c r="E34" s="2" t="inlineStr">
        <is>
          <t>TASK-DEVO-402</t>
        </is>
      </c>
      <c r="F34" s="2" t="n">
        <v>2</v>
      </c>
      <c r="G34" s="2" t="inlineStr">
        <is>
          <t>2026-10-27</t>
        </is>
      </c>
      <c r="H34" s="2" t="inlineStr">
        <is>
          <t>11:30</t>
        </is>
      </c>
      <c r="I34" s="2" t="inlineStr">
        <is>
          <t>Asia/Kolkata</t>
        </is>
      </c>
      <c r="J34" s="2" t="inlineStr">
        <is>
          <t>https://meet.google.com/rev-stu-040</t>
        </is>
      </c>
      <c r="K34" s="2" t="inlineStr">
        <is>
          <t>Submitted</t>
        </is>
      </c>
      <c r="L34" s="2" t="inlineStr">
        <is>
          <t>Reminder Sent</t>
        </is>
      </c>
      <c r="M34" s="2" t="inlineStr">
        <is>
          <t>Rajiv Mehta</t>
        </is>
      </c>
      <c r="N34" s="2" t="inlineStr">
        <is>
          <t>Pending</t>
        </is>
      </c>
      <c r="O34" s="2" t="inlineStr">
        <is>
          <t>2026-11-03</t>
        </is>
      </c>
    </row>
    <row r="35">
      <c r="A35" s="3" t="inlineStr">
        <is>
          <t>REV-STU-E2E-TEST-1</t>
        </is>
      </c>
      <c r="B35" s="3" t="inlineStr">
        <is>
          <t>STU-E2E-TEST</t>
        </is>
      </c>
      <c r="C35" s="3" t="inlineStr">
        <is>
          <t>Devon Cross</t>
        </is>
      </c>
      <c r="D35" s="3" t="inlineStr">
        <is>
          <t>devon.cross@example-interns.edu</t>
        </is>
      </c>
      <c r="E35" s="3" t="inlineStr">
        <is>
          <t>TASK-AIML-102</t>
        </is>
      </c>
      <c r="F35" s="3" t="n">
        <v>1</v>
      </c>
      <c r="G35" s="3" t="inlineStr">
        <is>
          <t>2026-10-28</t>
        </is>
      </c>
      <c r="H35" s="3" t="inlineStr">
        <is>
          <t>14:00</t>
        </is>
      </c>
      <c r="I35" s="3" t="inlineStr">
        <is>
          <t>Asia/Kolkata</t>
        </is>
      </c>
      <c r="J35" s="3" t="inlineStr">
        <is>
          <t>https://meet.google.com/rev-stu-e2e-test-1</t>
        </is>
      </c>
      <c r="K35" s="3" t="inlineStr">
        <is>
          <t>Pending</t>
        </is>
      </c>
      <c r="L35" s="3" t="inlineStr">
        <is>
          <t>Scheduled</t>
        </is>
      </c>
      <c r="M35" s="3" t="inlineStr">
        <is>
          <t>Dr. Aris Thorne</t>
        </is>
      </c>
      <c r="N35" s="3" t="inlineStr">
        <is>
          <t>Pending</t>
        </is>
      </c>
      <c r="O35" s="3" t="n"/>
    </row>
    <row r="36">
      <c r="A36" s="2" t="inlineStr">
        <is>
          <t>REV-STU-041-2</t>
        </is>
      </c>
      <c r="B36" s="2" t="inlineStr">
        <is>
          <t>STU-041</t>
        </is>
      </c>
      <c r="C36" s="2" t="inlineStr">
        <is>
          <t>Kiran Sanchez</t>
        </is>
      </c>
      <c r="D36" s="2" t="inlineStr">
        <is>
          <t>student041@example-interns.edu</t>
        </is>
      </c>
      <c r="E36" s="2" t="inlineStr">
        <is>
          <t>TASK-MOBL-501</t>
        </is>
      </c>
      <c r="F36" s="2" t="n">
        <v>2</v>
      </c>
      <c r="G36" s="2" t="inlineStr">
        <is>
          <t>2026-10-28</t>
        </is>
      </c>
      <c r="H36" s="2" t="inlineStr">
        <is>
          <t>16:00</t>
        </is>
      </c>
      <c r="I36" s="2" t="inlineStr">
        <is>
          <t>Asia/Kolkata</t>
        </is>
      </c>
      <c r="J36" s="2" t="inlineStr">
        <is>
          <t>https://meet.google.com/rev-stu-041</t>
        </is>
      </c>
      <c r="K36" s="2" t="inlineStr">
        <is>
          <t>Pending</t>
        </is>
      </c>
      <c r="L36" s="2" t="inlineStr">
        <is>
          <t>Scheduled</t>
        </is>
      </c>
      <c r="M36" s="2" t="inlineStr">
        <is>
          <t>Marcus Chen</t>
        </is>
      </c>
      <c r="N36" s="2" t="inlineStr">
        <is>
          <t>Pending</t>
        </is>
      </c>
      <c r="O36" s="2" t="inlineStr">
        <is>
          <t>2026-11-04</t>
        </is>
      </c>
    </row>
    <row r="37">
      <c r="A37" s="3" t="inlineStr">
        <is>
          <t>REV-STU-042-2</t>
        </is>
      </c>
      <c r="B37" s="3" t="inlineStr">
        <is>
          <t>STU-042</t>
        </is>
      </c>
      <c r="C37" s="3" t="inlineStr">
        <is>
          <t>Lucas Lewis</t>
        </is>
      </c>
      <c r="D37" s="3" t="inlineStr">
        <is>
          <t>student042@example-interns.edu</t>
        </is>
      </c>
      <c r="E37" s="3" t="inlineStr">
        <is>
          <t>TASK-CYBR-602</t>
        </is>
      </c>
      <c r="F37" s="3" t="n">
        <v>2</v>
      </c>
      <c r="G37" s="3" t="inlineStr">
        <is>
          <t>2026-10-28</t>
        </is>
      </c>
      <c r="H37" s="3" t="inlineStr">
        <is>
          <t>16:00</t>
        </is>
      </c>
      <c r="I37" s="3" t="inlineStr">
        <is>
          <t>Asia/Kolkata</t>
        </is>
      </c>
      <c r="J37" s="3" t="inlineStr">
        <is>
          <t>https://meet.google.com/rev-stu-042</t>
        </is>
      </c>
      <c r="K37" s="3" t="inlineStr">
        <is>
          <t>Pending</t>
        </is>
      </c>
      <c r="L37" s="3" t="inlineStr">
        <is>
          <t>Scheduled</t>
        </is>
      </c>
      <c r="M37" s="3" t="inlineStr">
        <is>
          <t>Nadia Al-Mansoor</t>
        </is>
      </c>
      <c r="N37" s="3" t="inlineStr">
        <is>
          <t>Pending</t>
        </is>
      </c>
      <c r="O37" s="3" t="inlineStr">
        <is>
          <t>2026-11-04</t>
        </is>
      </c>
    </row>
    <row r="38">
      <c r="A38" s="2" t="inlineStr">
        <is>
          <t>REV-STU-043-2</t>
        </is>
      </c>
      <c r="B38" s="2" t="inlineStr">
        <is>
          <t>STU-043</t>
        </is>
      </c>
      <c r="C38" s="2" t="inlineStr">
        <is>
          <t>Mei Young</t>
        </is>
      </c>
      <c r="D38" s="2" t="inlineStr">
        <is>
          <t>student043@example-interns.edu</t>
        </is>
      </c>
      <c r="E38" s="2" t="inlineStr">
        <is>
          <t>TASK-AIML-101</t>
        </is>
      </c>
      <c r="F38" s="2" t="n">
        <v>2</v>
      </c>
      <c r="G38" s="2" t="inlineStr">
        <is>
          <t>2026-10-28</t>
        </is>
      </c>
      <c r="H38" s="2" t="inlineStr">
        <is>
          <t>16:00</t>
        </is>
      </c>
      <c r="I38" s="2" t="inlineStr">
        <is>
          <t>Asia/Kolkata</t>
        </is>
      </c>
      <c r="J38" s="2" t="inlineStr">
        <is>
          <t>https://meet.google.com/rev-stu-043</t>
        </is>
      </c>
      <c r="K38" s="2" t="inlineStr">
        <is>
          <t>Pending</t>
        </is>
      </c>
      <c r="L38" s="2" t="inlineStr">
        <is>
          <t>Scheduled</t>
        </is>
      </c>
      <c r="M38" s="2" t="inlineStr">
        <is>
          <t>Dr. Aris Thorne</t>
        </is>
      </c>
      <c r="N38" s="2" t="inlineStr">
        <is>
          <t>Pending</t>
        </is>
      </c>
      <c r="O38" s="2" t="inlineStr">
        <is>
          <t>2026-11-04</t>
        </is>
      </c>
    </row>
    <row r="39">
      <c r="A39" s="3" t="inlineStr">
        <is>
          <t>REV-STU-044-2</t>
        </is>
      </c>
      <c r="B39" s="3" t="inlineStr">
        <is>
          <t>STU-044</t>
        </is>
      </c>
      <c r="C39" s="3" t="inlineStr">
        <is>
          <t>Nathan Wright</t>
        </is>
      </c>
      <c r="D39" s="3" t="inlineStr">
        <is>
          <t>student044@example-interns.edu</t>
        </is>
      </c>
      <c r="E39" s="3" t="inlineStr">
        <is>
          <t>TASK-FSWD-202</t>
        </is>
      </c>
      <c r="F39" s="3" t="n">
        <v>2</v>
      </c>
      <c r="G39" s="3" t="inlineStr">
        <is>
          <t>2026-10-28</t>
        </is>
      </c>
      <c r="H39" s="3" t="inlineStr">
        <is>
          <t>16:00</t>
        </is>
      </c>
      <c r="I39" s="3" t="inlineStr">
        <is>
          <t>Asia/Kolkata</t>
        </is>
      </c>
      <c r="J39" s="3" t="inlineStr">
        <is>
          <t>https://meet.google.com/rev-stu-044</t>
        </is>
      </c>
      <c r="K39" s="3" t="inlineStr">
        <is>
          <t>Pending</t>
        </is>
      </c>
      <c r="L39" s="3" t="inlineStr">
        <is>
          <t>Scheduled</t>
        </is>
      </c>
      <c r="M39" s="3" t="inlineStr">
        <is>
          <t>Prof. Elena Rostova</t>
        </is>
      </c>
      <c r="N39" s="3" t="inlineStr">
        <is>
          <t>Pending</t>
        </is>
      </c>
      <c r="O39" s="3" t="inlineStr">
        <is>
          <t>2026-11-04</t>
        </is>
      </c>
    </row>
    <row r="40">
      <c r="A40" s="2" t="inlineStr">
        <is>
          <t>REV-STU-045-2</t>
        </is>
      </c>
      <c r="B40" s="2" t="inlineStr">
        <is>
          <t>STU-045</t>
        </is>
      </c>
      <c r="C40" s="2" t="inlineStr">
        <is>
          <t>Oscar Nguyen</t>
        </is>
      </c>
      <c r="D40" s="2" t="inlineStr">
        <is>
          <t>student045@example-interns.edu</t>
        </is>
      </c>
      <c r="E40" s="2" t="inlineStr">
        <is>
          <t>TASK-DATA-301</t>
        </is>
      </c>
      <c r="F40" s="2" t="n">
        <v>2</v>
      </c>
      <c r="G40" s="2" t="inlineStr">
        <is>
          <t>2026-10-28</t>
        </is>
      </c>
      <c r="H40" s="2" t="inlineStr">
        <is>
          <t>16:00</t>
        </is>
      </c>
      <c r="I40" s="2" t="inlineStr">
        <is>
          <t>Asia/Kolkata</t>
        </is>
      </c>
      <c r="J40" s="2" t="inlineStr">
        <is>
          <t>https://meet.google.com/rev-stu-045</t>
        </is>
      </c>
      <c r="K40" s="2" t="inlineStr">
        <is>
          <t>Pending</t>
        </is>
      </c>
      <c r="L40" s="2" t="inlineStr">
        <is>
          <t>Scheduled</t>
        </is>
      </c>
      <c r="M40" s="2" t="inlineStr">
        <is>
          <t>Sarah Jenkins</t>
        </is>
      </c>
      <c r="N40" s="2" t="inlineStr">
        <is>
          <t>Pending</t>
        </is>
      </c>
      <c r="O40" s="2" t="inlineStr">
        <is>
          <t>2026-11-04</t>
        </is>
      </c>
    </row>
    <row r="41">
      <c r="A41" s="3" t="inlineStr">
        <is>
          <t>REV-STU-046-2</t>
        </is>
      </c>
      <c r="B41" s="3" t="inlineStr">
        <is>
          <t>STU-046</t>
        </is>
      </c>
      <c r="C41" s="3" t="inlineStr">
        <is>
          <t>Pooja Green</t>
        </is>
      </c>
      <c r="D41" s="3" t="inlineStr">
        <is>
          <t>student046@example-interns.edu</t>
        </is>
      </c>
      <c r="E41" s="3" t="inlineStr">
        <is>
          <t>TASK-DEVO-402</t>
        </is>
      </c>
      <c r="F41" s="3" t="n">
        <v>2</v>
      </c>
      <c r="G41" s="3" t="inlineStr">
        <is>
          <t>2026-10-28</t>
        </is>
      </c>
      <c r="H41" s="3" t="inlineStr">
        <is>
          <t>16:00</t>
        </is>
      </c>
      <c r="I41" s="3" t="inlineStr">
        <is>
          <t>Asia/Kolkata</t>
        </is>
      </c>
      <c r="J41" s="3" t="inlineStr">
        <is>
          <t>https://meet.google.com/rev-stu-046</t>
        </is>
      </c>
      <c r="K41" s="3" t="inlineStr">
        <is>
          <t>Pending</t>
        </is>
      </c>
      <c r="L41" s="3" t="inlineStr">
        <is>
          <t>Scheduled</t>
        </is>
      </c>
      <c r="M41" s="3" t="inlineStr">
        <is>
          <t>Rajiv Mehta</t>
        </is>
      </c>
      <c r="N41" s="3" t="inlineStr">
        <is>
          <t>Pending</t>
        </is>
      </c>
      <c r="O41" s="3" t="inlineStr">
        <is>
          <t>2026-11-04</t>
        </is>
      </c>
    </row>
    <row r="42">
      <c r="A42" s="2" t="inlineStr">
        <is>
          <t>REV-STU-047-2</t>
        </is>
      </c>
      <c r="B42" s="2" t="inlineStr">
        <is>
          <t>STU-047</t>
        </is>
      </c>
      <c r="C42" s="2" t="inlineStr">
        <is>
          <t>Rahul Baker</t>
        </is>
      </c>
      <c r="D42" s="2" t="inlineStr">
        <is>
          <t>student047@example-interns.edu</t>
        </is>
      </c>
      <c r="E42" s="2" t="inlineStr">
        <is>
          <t>TASK-MOBL-501</t>
        </is>
      </c>
      <c r="F42" s="2" t="n">
        <v>2</v>
      </c>
      <c r="G42" s="2" t="inlineStr">
        <is>
          <t>2026-10-28</t>
        </is>
      </c>
      <c r="H42" s="2" t="inlineStr">
        <is>
          <t>16:00</t>
        </is>
      </c>
      <c r="I42" s="2" t="inlineStr">
        <is>
          <t>Asia/Kolkata</t>
        </is>
      </c>
      <c r="J42" s="2" t="inlineStr">
        <is>
          <t>https://meet.google.com/rev-stu-047</t>
        </is>
      </c>
      <c r="K42" s="2" t="inlineStr">
        <is>
          <t>Pending</t>
        </is>
      </c>
      <c r="L42" s="2" t="inlineStr">
        <is>
          <t>Scheduled</t>
        </is>
      </c>
      <c r="M42" s="2" t="inlineStr">
        <is>
          <t>Marcus Chen</t>
        </is>
      </c>
      <c r="N42" s="2" t="inlineStr">
        <is>
          <t>Pending</t>
        </is>
      </c>
      <c r="O42" s="2" t="inlineStr">
        <is>
          <t>2026-11-04</t>
        </is>
      </c>
    </row>
    <row r="43">
      <c r="A43" s="3" t="inlineStr">
        <is>
          <t>REV-STU-048-2</t>
        </is>
      </c>
      <c r="B43" s="3" t="inlineStr">
        <is>
          <t>STU-048</t>
        </is>
      </c>
      <c r="C43" s="3" t="inlineStr">
        <is>
          <t>Sara Campbell</t>
        </is>
      </c>
      <c r="D43" s="3" t="inlineStr">
        <is>
          <t>student048@example-interns.edu</t>
        </is>
      </c>
      <c r="E43" s="3" t="inlineStr">
        <is>
          <t>TASK-CYBR-602</t>
        </is>
      </c>
      <c r="F43" s="3" t="n">
        <v>2</v>
      </c>
      <c r="G43" s="3" t="inlineStr">
        <is>
          <t>2026-10-28</t>
        </is>
      </c>
      <c r="H43" s="3" t="inlineStr">
        <is>
          <t>16:00</t>
        </is>
      </c>
      <c r="I43" s="3" t="inlineStr">
        <is>
          <t>Asia/Kolkata</t>
        </is>
      </c>
      <c r="J43" s="3" t="inlineStr">
        <is>
          <t>https://meet.google.com/rev-stu-048</t>
        </is>
      </c>
      <c r="K43" s="3" t="inlineStr">
        <is>
          <t>Pending</t>
        </is>
      </c>
      <c r="L43" s="3" t="inlineStr">
        <is>
          <t>Scheduled</t>
        </is>
      </c>
      <c r="M43" s="3" t="inlineStr">
        <is>
          <t>Nadia Al-Mansoor</t>
        </is>
      </c>
      <c r="N43" s="3" t="inlineStr">
        <is>
          <t>Pending</t>
        </is>
      </c>
      <c r="O43" s="3" t="inlineStr">
        <is>
          <t>2026-11-04</t>
        </is>
      </c>
    </row>
    <row r="44">
      <c r="A44" s="2" t="inlineStr">
        <is>
          <t>REV-STU-049-2</t>
        </is>
      </c>
      <c r="B44" s="2" t="inlineStr">
        <is>
          <t>STU-049</t>
        </is>
      </c>
      <c r="C44" s="2" t="inlineStr">
        <is>
          <t>Tom Sharma</t>
        </is>
      </c>
      <c r="D44" s="2" t="inlineStr">
        <is>
          <t>student049@example-interns.edu</t>
        </is>
      </c>
      <c r="E44" s="2" t="inlineStr">
        <is>
          <t>TASK-AIML-101</t>
        </is>
      </c>
      <c r="F44" s="2" t="n">
        <v>2</v>
      </c>
      <c r="G44" s="2" t="inlineStr">
        <is>
          <t>2026-10-28</t>
        </is>
      </c>
      <c r="H44" s="2" t="inlineStr">
        <is>
          <t>16:00</t>
        </is>
      </c>
      <c r="I44" s="2" t="inlineStr">
        <is>
          <t>Asia/Kolkata</t>
        </is>
      </c>
      <c r="J44" s="2" t="inlineStr">
        <is>
          <t>https://meet.google.com/rev-stu-049</t>
        </is>
      </c>
      <c r="K44" s="2" t="inlineStr">
        <is>
          <t>Pending</t>
        </is>
      </c>
      <c r="L44" s="2" t="inlineStr">
        <is>
          <t>Scheduled</t>
        </is>
      </c>
      <c r="M44" s="2" t="inlineStr">
        <is>
          <t>Dr. Aris Thorne</t>
        </is>
      </c>
      <c r="N44" s="2" t="inlineStr">
        <is>
          <t>Pending</t>
        </is>
      </c>
      <c r="O44" s="2" t="inlineStr">
        <is>
          <t>2026-11-04</t>
        </is>
      </c>
    </row>
    <row r="45">
      <c r="A45" s="3" t="inlineStr">
        <is>
          <t>REV-STU-050-2</t>
        </is>
      </c>
      <c r="B45" s="3" t="inlineStr">
        <is>
          <t>STU-050</t>
        </is>
      </c>
      <c r="C45" s="3" t="inlineStr">
        <is>
          <t>Valeria Williams</t>
        </is>
      </c>
      <c r="D45" s="3" t="inlineStr">
        <is>
          <t>student050@example-interns.edu</t>
        </is>
      </c>
      <c r="E45" s="3" t="inlineStr">
        <is>
          <t>TASK-FSWD-202</t>
        </is>
      </c>
      <c r="F45" s="3" t="n">
        <v>2</v>
      </c>
      <c r="G45" s="3" t="inlineStr">
        <is>
          <t>2026-10-28</t>
        </is>
      </c>
      <c r="H45" s="3" t="inlineStr">
        <is>
          <t>16:00</t>
        </is>
      </c>
      <c r="I45" s="3" t="inlineStr">
        <is>
          <t>Asia/Kolkata</t>
        </is>
      </c>
      <c r="J45" s="3" t="inlineStr">
        <is>
          <t>https://meet.google.com/rev-stu-050</t>
        </is>
      </c>
      <c r="K45" s="3" t="inlineStr">
        <is>
          <t>Pending</t>
        </is>
      </c>
      <c r="L45" s="3" t="inlineStr">
        <is>
          <t>Scheduled</t>
        </is>
      </c>
      <c r="M45" s="3" t="inlineStr">
        <is>
          <t>Prof. Elena Rostova</t>
        </is>
      </c>
      <c r="N45" s="3" t="inlineStr">
        <is>
          <t>Pending</t>
        </is>
      </c>
      <c r="O45" s="3" t="inlineStr">
        <is>
          <t>2026-11-04</t>
        </is>
      </c>
    </row>
    <row r="46">
      <c r="A46" s="2" t="inlineStr">
        <is>
          <t>REV-STU-051-2</t>
        </is>
      </c>
      <c r="B46" s="2" t="inlineStr">
        <is>
          <t>STU-051</t>
        </is>
      </c>
      <c r="C46" s="2" t="inlineStr">
        <is>
          <t>Aarav Garcia</t>
        </is>
      </c>
      <c r="D46" s="2" t="inlineStr">
        <is>
          <t>student051@example-interns.edu</t>
        </is>
      </c>
      <c r="E46" s="2" t="inlineStr">
        <is>
          <t>TASK-DATA-301</t>
        </is>
      </c>
      <c r="F46" s="2" t="n">
        <v>2</v>
      </c>
      <c r="G46" s="2" t="inlineStr">
        <is>
          <t>2026-10-28</t>
        </is>
      </c>
      <c r="H46" s="2" t="inlineStr">
        <is>
          <t>16:00</t>
        </is>
      </c>
      <c r="I46" s="2" t="inlineStr">
        <is>
          <t>Asia/Kolkata</t>
        </is>
      </c>
      <c r="J46" s="2" t="inlineStr">
        <is>
          <t>https://meet.google.com/rev-stu-051</t>
        </is>
      </c>
      <c r="K46" s="2" t="inlineStr">
        <is>
          <t>Pending</t>
        </is>
      </c>
      <c r="L46" s="2" t="inlineStr">
        <is>
          <t>Scheduled</t>
        </is>
      </c>
      <c r="M46" s="2" t="inlineStr">
        <is>
          <t>Sarah Jenkins</t>
        </is>
      </c>
      <c r="N46" s="2" t="inlineStr">
        <is>
          <t>Pending</t>
        </is>
      </c>
      <c r="O46" s="2" t="inlineStr">
        <is>
          <t>2026-11-04</t>
        </is>
      </c>
    </row>
    <row r="47">
      <c r="A47" s="3" t="inlineStr">
        <is>
          <t>REV-STU-052-2</t>
        </is>
      </c>
      <c r="B47" s="3" t="inlineStr">
        <is>
          <t>STU-052</t>
        </is>
      </c>
      <c r="C47" s="3" t="inlineStr">
        <is>
          <t>Aditi Rodriguez</t>
        </is>
      </c>
      <c r="D47" s="3" t="inlineStr">
        <is>
          <t>student052@example-interns.edu</t>
        </is>
      </c>
      <c r="E47" s="3" t="inlineStr">
        <is>
          <t>TASK-DEVO-402</t>
        </is>
      </c>
      <c r="F47" s="3" t="n">
        <v>2</v>
      </c>
      <c r="G47" s="3" t="inlineStr">
        <is>
          <t>2026-10-28</t>
        </is>
      </c>
      <c r="H47" s="3" t="inlineStr">
        <is>
          <t>16:00</t>
        </is>
      </c>
      <c r="I47" s="3" t="inlineStr">
        <is>
          <t>Asia/Kolkata</t>
        </is>
      </c>
      <c r="J47" s="3" t="inlineStr">
        <is>
          <t>https://meet.google.com/rev-stu-052</t>
        </is>
      </c>
      <c r="K47" s="3" t="inlineStr">
        <is>
          <t>Pending</t>
        </is>
      </c>
      <c r="L47" s="3" t="inlineStr">
        <is>
          <t>Scheduled</t>
        </is>
      </c>
      <c r="M47" s="3" t="inlineStr">
        <is>
          <t>Rajiv Mehta</t>
        </is>
      </c>
      <c r="N47" s="3" t="inlineStr">
        <is>
          <t>Pending</t>
        </is>
      </c>
      <c r="O47" s="3" t="inlineStr">
        <is>
          <t>2026-11-04</t>
        </is>
      </c>
    </row>
    <row r="48">
      <c r="A48" s="2" t="inlineStr">
        <is>
          <t>REV-STU-053-2</t>
        </is>
      </c>
      <c r="B48" s="2" t="inlineStr">
        <is>
          <t>STU-053</t>
        </is>
      </c>
      <c r="C48" s="2" t="inlineStr">
        <is>
          <t>Alexander Lopez</t>
        </is>
      </c>
      <c r="D48" s="2" t="inlineStr">
        <is>
          <t>student053@example-interns.edu</t>
        </is>
      </c>
      <c r="E48" s="2" t="inlineStr">
        <is>
          <t>TASK-MOBL-501</t>
        </is>
      </c>
      <c r="F48" s="2" t="n">
        <v>2</v>
      </c>
      <c r="G48" s="2" t="inlineStr">
        <is>
          <t>2026-10-28</t>
        </is>
      </c>
      <c r="H48" s="2" t="inlineStr">
        <is>
          <t>16:00</t>
        </is>
      </c>
      <c r="I48" s="2" t="inlineStr">
        <is>
          <t>Asia/Kolkata</t>
        </is>
      </c>
      <c r="J48" s="2" t="inlineStr">
        <is>
          <t>https://meet.google.com/rev-stu-053</t>
        </is>
      </c>
      <c r="K48" s="2" t="inlineStr">
        <is>
          <t>Pending</t>
        </is>
      </c>
      <c r="L48" s="2" t="inlineStr">
        <is>
          <t>Scheduled</t>
        </is>
      </c>
      <c r="M48" s="2" t="inlineStr">
        <is>
          <t>Marcus Chen</t>
        </is>
      </c>
      <c r="N48" s="2" t="inlineStr">
        <is>
          <t>Pending</t>
        </is>
      </c>
      <c r="O48" s="2" t="inlineStr">
        <is>
          <t>2026-11-04</t>
        </is>
      </c>
    </row>
    <row r="49">
      <c r="A49" s="3" t="inlineStr">
        <is>
          <t>REV-STU-054-2</t>
        </is>
      </c>
      <c r="B49" s="3" t="inlineStr">
        <is>
          <t>STU-054</t>
        </is>
      </c>
      <c r="C49" s="3" t="inlineStr">
        <is>
          <t>Amara Anderson</t>
        </is>
      </c>
      <c r="D49" s="3" t="inlineStr">
        <is>
          <t>student054@example-interns.edu</t>
        </is>
      </c>
      <c r="E49" s="3" t="inlineStr">
        <is>
          <t>TASK-CYBR-602</t>
        </is>
      </c>
      <c r="F49" s="3" t="n">
        <v>2</v>
      </c>
      <c r="G49" s="3" t="inlineStr">
        <is>
          <t>2026-10-28</t>
        </is>
      </c>
      <c r="H49" s="3" t="inlineStr">
        <is>
          <t>16:00</t>
        </is>
      </c>
      <c r="I49" s="3" t="inlineStr">
        <is>
          <t>Asia/Kolkata</t>
        </is>
      </c>
      <c r="J49" s="3" t="inlineStr">
        <is>
          <t>https://meet.google.com/rev-stu-054</t>
        </is>
      </c>
      <c r="K49" s="3" t="inlineStr">
        <is>
          <t>Pending</t>
        </is>
      </c>
      <c r="L49" s="3" t="inlineStr">
        <is>
          <t>Scheduled</t>
        </is>
      </c>
      <c r="M49" s="3" t="inlineStr">
        <is>
          <t>Nadia Al-Mansoor</t>
        </is>
      </c>
      <c r="N49" s="3" t="inlineStr">
        <is>
          <t>Pending</t>
        </is>
      </c>
      <c r="O49" s="3" t="inlineStr">
        <is>
          <t>2026-11-04</t>
        </is>
      </c>
    </row>
    <row r="50">
      <c r="A50" s="2" t="inlineStr">
        <is>
          <t>REV-STU-055-2</t>
        </is>
      </c>
      <c r="B50" s="2" t="inlineStr">
        <is>
          <t>STU-055</t>
        </is>
      </c>
      <c r="C50" s="2" t="inlineStr">
        <is>
          <t>Carlos Moore</t>
        </is>
      </c>
      <c r="D50" s="2" t="inlineStr">
        <is>
          <t>student055@example-interns.edu</t>
        </is>
      </c>
      <c r="E50" s="2" t="inlineStr">
        <is>
          <t>TASK-AIML-101</t>
        </is>
      </c>
      <c r="F50" s="2" t="n">
        <v>2</v>
      </c>
      <c r="G50" s="2" t="inlineStr">
        <is>
          <t>2026-10-28</t>
        </is>
      </c>
      <c r="H50" s="2" t="inlineStr">
        <is>
          <t>16:00</t>
        </is>
      </c>
      <c r="I50" s="2" t="inlineStr">
        <is>
          <t>Asia/Kolkata</t>
        </is>
      </c>
      <c r="J50" s="2" t="inlineStr">
        <is>
          <t>https://meet.google.com/rev-stu-055</t>
        </is>
      </c>
      <c r="K50" s="2" t="inlineStr">
        <is>
          <t>Pending</t>
        </is>
      </c>
      <c r="L50" s="2" t="inlineStr">
        <is>
          <t>Scheduled</t>
        </is>
      </c>
      <c r="M50" s="2" t="inlineStr">
        <is>
          <t>Dr. Aris Thorne</t>
        </is>
      </c>
      <c r="N50" s="2" t="inlineStr">
        <is>
          <t>Pending</t>
        </is>
      </c>
      <c r="O50" s="2" t="inlineStr">
        <is>
          <t>2026-11-04</t>
        </is>
      </c>
    </row>
    <row r="51">
      <c r="A51" s="3" t="inlineStr">
        <is>
          <t>REV-STU-056-2</t>
        </is>
      </c>
      <c r="B51" s="3" t="inlineStr">
        <is>
          <t>STU-056</t>
        </is>
      </c>
      <c r="C51" s="3" t="inlineStr">
        <is>
          <t>Chloe Lee</t>
        </is>
      </c>
      <c r="D51" s="3" t="inlineStr">
        <is>
          <t>student056@example-interns.edu</t>
        </is>
      </c>
      <c r="E51" s="3" t="inlineStr">
        <is>
          <t>TASK-FSWD-202</t>
        </is>
      </c>
      <c r="F51" s="3" t="n">
        <v>2</v>
      </c>
      <c r="G51" s="3" t="inlineStr">
        <is>
          <t>2026-10-28</t>
        </is>
      </c>
      <c r="H51" s="3" t="inlineStr">
        <is>
          <t>16:00</t>
        </is>
      </c>
      <c r="I51" s="3" t="inlineStr">
        <is>
          <t>Asia/Kolkata</t>
        </is>
      </c>
      <c r="J51" s="3" t="inlineStr">
        <is>
          <t>https://meet.google.com/rev-stu-056</t>
        </is>
      </c>
      <c r="K51" s="3" t="inlineStr">
        <is>
          <t>Pending</t>
        </is>
      </c>
      <c r="L51" s="3" t="inlineStr">
        <is>
          <t>Scheduled</t>
        </is>
      </c>
      <c r="M51" s="3" t="inlineStr">
        <is>
          <t>Prof. Elena Rostova</t>
        </is>
      </c>
      <c r="N51" s="3" t="inlineStr">
        <is>
          <t>Pending</t>
        </is>
      </c>
      <c r="O51" s="3" t="inlineStr">
        <is>
          <t>2026-11-04</t>
        </is>
      </c>
    </row>
    <row r="52">
      <c r="A52" s="2" t="inlineStr">
        <is>
          <t>REV-STU-057-2</t>
        </is>
      </c>
      <c r="B52" s="2" t="inlineStr">
        <is>
          <t>STU-057</t>
        </is>
      </c>
      <c r="C52" s="2" t="inlineStr">
        <is>
          <t>David White</t>
        </is>
      </c>
      <c r="D52" s="2" t="inlineStr">
        <is>
          <t>student057@example-interns.edu</t>
        </is>
      </c>
      <c r="E52" s="2" t="inlineStr">
        <is>
          <t>TASK-DATA-301</t>
        </is>
      </c>
      <c r="F52" s="2" t="n">
        <v>2</v>
      </c>
      <c r="G52" s="2" t="inlineStr">
        <is>
          <t>2026-10-28</t>
        </is>
      </c>
      <c r="H52" s="2" t="inlineStr">
        <is>
          <t>16:00</t>
        </is>
      </c>
      <c r="I52" s="2" t="inlineStr">
        <is>
          <t>Asia/Kolkata</t>
        </is>
      </c>
      <c r="J52" s="2" t="inlineStr">
        <is>
          <t>https://meet.google.com/rev-stu-057</t>
        </is>
      </c>
      <c r="K52" s="2" t="inlineStr">
        <is>
          <t>Pending</t>
        </is>
      </c>
      <c r="L52" s="2" t="inlineStr">
        <is>
          <t>Scheduled</t>
        </is>
      </c>
      <c r="M52" s="2" t="inlineStr">
        <is>
          <t>Sarah Jenkins</t>
        </is>
      </c>
      <c r="N52" s="2" t="inlineStr">
        <is>
          <t>Pending</t>
        </is>
      </c>
      <c r="O52" s="2" t="inlineStr">
        <is>
          <t>2026-11-04</t>
        </is>
      </c>
    </row>
    <row r="53">
      <c r="A53" s="3" t="inlineStr">
        <is>
          <t>REV-STU-058-2</t>
        </is>
      </c>
      <c r="B53" s="3" t="inlineStr">
        <is>
          <t>STU-058</t>
        </is>
      </c>
      <c r="C53" s="3" t="inlineStr">
        <is>
          <t>Divya Clark</t>
        </is>
      </c>
      <c r="D53" s="3" t="inlineStr">
        <is>
          <t>student058@example-interns.edu</t>
        </is>
      </c>
      <c r="E53" s="3" t="inlineStr">
        <is>
          <t>TASK-DEVO-402</t>
        </is>
      </c>
      <c r="F53" s="3" t="n">
        <v>2</v>
      </c>
      <c r="G53" s="3" t="inlineStr">
        <is>
          <t>2026-10-28</t>
        </is>
      </c>
      <c r="H53" s="3" t="inlineStr">
        <is>
          <t>16:00</t>
        </is>
      </c>
      <c r="I53" s="3" t="inlineStr">
        <is>
          <t>Asia/Kolkata</t>
        </is>
      </c>
      <c r="J53" s="3" t="inlineStr">
        <is>
          <t>https://meet.google.com/rev-stu-058</t>
        </is>
      </c>
      <c r="K53" s="3" t="inlineStr">
        <is>
          <t>Pending</t>
        </is>
      </c>
      <c r="L53" s="3" t="inlineStr">
        <is>
          <t>Scheduled</t>
        </is>
      </c>
      <c r="M53" s="3" t="inlineStr">
        <is>
          <t>Rajiv Mehta</t>
        </is>
      </c>
      <c r="N53" s="3" t="inlineStr">
        <is>
          <t>Pending</t>
        </is>
      </c>
      <c r="O53" s="3" t="inlineStr">
        <is>
          <t>2026-11-04</t>
        </is>
      </c>
    </row>
    <row r="54">
      <c r="A54" s="2" t="inlineStr">
        <is>
          <t>REV-STU-059-2</t>
        </is>
      </c>
      <c r="B54" s="2" t="inlineStr">
        <is>
          <t>STU-059</t>
        </is>
      </c>
      <c r="C54" s="2" t="inlineStr">
        <is>
          <t>Ethan Robinson</t>
        </is>
      </c>
      <c r="D54" s="2" t="inlineStr">
        <is>
          <t>student059@example-interns.edu</t>
        </is>
      </c>
      <c r="E54" s="2" t="inlineStr">
        <is>
          <t>TASK-MOBL-501</t>
        </is>
      </c>
      <c r="F54" s="2" t="n">
        <v>2</v>
      </c>
      <c r="G54" s="2" t="inlineStr">
        <is>
          <t>2026-10-28</t>
        </is>
      </c>
      <c r="H54" s="2" t="inlineStr">
        <is>
          <t>16:00</t>
        </is>
      </c>
      <c r="I54" s="2" t="inlineStr">
        <is>
          <t>Asia/Kolkata</t>
        </is>
      </c>
      <c r="J54" s="2" t="inlineStr">
        <is>
          <t>https://meet.google.com/rev-stu-059</t>
        </is>
      </c>
      <c r="K54" s="2" t="inlineStr">
        <is>
          <t>Pending</t>
        </is>
      </c>
      <c r="L54" s="2" t="inlineStr">
        <is>
          <t>Scheduled</t>
        </is>
      </c>
      <c r="M54" s="2" t="inlineStr">
        <is>
          <t>Marcus Chen</t>
        </is>
      </c>
      <c r="N54" s="2" t="inlineStr">
        <is>
          <t>Pending</t>
        </is>
      </c>
      <c r="O54" s="2" t="inlineStr">
        <is>
          <t>2026-11-04</t>
        </is>
      </c>
    </row>
    <row r="55">
      <c r="A55" s="3" t="inlineStr">
        <is>
          <t>REV-STU-060-2</t>
        </is>
      </c>
      <c r="B55" s="3" t="inlineStr">
        <is>
          <t>STU-060</t>
        </is>
      </c>
      <c r="C55" s="3" t="inlineStr">
        <is>
          <t>Fatima Allen</t>
        </is>
      </c>
      <c r="D55" s="3" t="inlineStr">
        <is>
          <t>student060@example-interns.edu</t>
        </is>
      </c>
      <c r="E55" s="3" t="inlineStr">
        <is>
          <t>TASK-CYBR-602</t>
        </is>
      </c>
      <c r="F55" s="3" t="n">
        <v>2</v>
      </c>
      <c r="G55" s="3" t="inlineStr">
        <is>
          <t>2026-10-28</t>
        </is>
      </c>
      <c r="H55" s="3" t="inlineStr">
        <is>
          <t>16:00</t>
        </is>
      </c>
      <c r="I55" s="3" t="inlineStr">
        <is>
          <t>Asia/Kolkata</t>
        </is>
      </c>
      <c r="J55" s="3" t="inlineStr">
        <is>
          <t>https://meet.google.com/rev-stu-060</t>
        </is>
      </c>
      <c r="K55" s="3" t="inlineStr">
        <is>
          <t>Pending</t>
        </is>
      </c>
      <c r="L55" s="3" t="inlineStr">
        <is>
          <t>Scheduled</t>
        </is>
      </c>
      <c r="M55" s="3" t="inlineStr">
        <is>
          <t>Nadia Al-Mansoor</t>
        </is>
      </c>
      <c r="N55" s="3" t="inlineStr">
        <is>
          <t>Pending</t>
        </is>
      </c>
      <c r="O55" s="3" t="inlineStr">
        <is>
          <t>2026-11-04</t>
        </is>
      </c>
    </row>
    <row r="56">
      <c r="A56" s="2" t="inlineStr">
        <is>
          <t>REV-STU-E2E-TEST-2</t>
        </is>
      </c>
      <c r="B56" s="2" t="inlineStr">
        <is>
          <t>STU-E2E-TEST</t>
        </is>
      </c>
      <c r="C56" s="2" t="inlineStr">
        <is>
          <t>Devon Cross</t>
        </is>
      </c>
      <c r="D56" s="2" t="inlineStr">
        <is>
          <t>devon.cross@example-interns.edu</t>
        </is>
      </c>
      <c r="E56" s="2" t="inlineStr">
        <is>
          <t>TASK-AIML-102</t>
        </is>
      </c>
      <c r="F56" s="2" t="n">
        <v>2</v>
      </c>
      <c r="G56" s="2" t="inlineStr">
        <is>
          <t>2026-10-29</t>
        </is>
      </c>
      <c r="H56" s="2" t="inlineStr">
        <is>
          <t>14:00</t>
        </is>
      </c>
      <c r="I56" s="2" t="inlineStr">
        <is>
          <t>Asia/Kolkata</t>
        </is>
      </c>
      <c r="J56" s="2" t="inlineStr">
        <is>
          <t>https://meet.google.com/rev-stu-e2e-test-2</t>
        </is>
      </c>
      <c r="K56" s="2" t="inlineStr">
        <is>
          <t>Pending Resubmission</t>
        </is>
      </c>
      <c r="L56" s="2" t="inlineStr">
        <is>
          <t>Completed</t>
        </is>
      </c>
      <c r="M56" s="2" t="inlineStr">
        <is>
          <t>Dr. Aris Thorne</t>
        </is>
      </c>
      <c r="N56" s="2" t="inlineStr">
        <is>
          <t>Approved</t>
        </is>
      </c>
      <c r="O56" s="2" t="n"/>
    </row>
    <row r="57">
      <c r="A57" s="3" t="inlineStr">
        <is>
          <t>REV-STU-061-1</t>
        </is>
      </c>
      <c r="B57" s="3" t="inlineStr">
        <is>
          <t>STU-061</t>
        </is>
      </c>
      <c r="C57" s="3" t="inlineStr">
        <is>
          <t>Gabriel Scott</t>
        </is>
      </c>
      <c r="D57" s="3" t="inlineStr">
        <is>
          <t>student061@example-interns.edu</t>
        </is>
      </c>
      <c r="E57" s="3" t="inlineStr">
        <is>
          <t>TASK-AIML-101</t>
        </is>
      </c>
      <c r="F57" s="3" t="n">
        <v>1</v>
      </c>
      <c r="G57" s="3" t="inlineStr">
        <is>
          <t>2026-10-30</t>
        </is>
      </c>
      <c r="H57" s="3" t="inlineStr">
        <is>
          <t>10:00</t>
        </is>
      </c>
      <c r="I57" s="3" t="inlineStr">
        <is>
          <t>Asia/Kolkata</t>
        </is>
      </c>
      <c r="J57" s="3" t="inlineStr">
        <is>
          <t>https://meet.google.com/rev-stu-061</t>
        </is>
      </c>
      <c r="K57" s="3" t="inlineStr">
        <is>
          <t>Pending</t>
        </is>
      </c>
      <c r="L57" s="3" t="inlineStr">
        <is>
          <t>Scheduled</t>
        </is>
      </c>
      <c r="M57" s="3" t="inlineStr">
        <is>
          <t>Dr. Aris Thorne</t>
        </is>
      </c>
      <c r="N57" s="3" t="inlineStr">
        <is>
          <t>Pending</t>
        </is>
      </c>
      <c r="O57" s="3" t="inlineStr">
        <is>
          <t>2026-11-06</t>
        </is>
      </c>
    </row>
    <row r="58">
      <c r="A58" s="2" t="inlineStr">
        <is>
          <t>REV-STU-062-1</t>
        </is>
      </c>
      <c r="B58" s="2" t="inlineStr">
        <is>
          <t>STU-062</t>
        </is>
      </c>
      <c r="C58" s="2" t="inlineStr">
        <is>
          <t>Grace Hill</t>
        </is>
      </c>
      <c r="D58" s="2" t="inlineStr">
        <is>
          <t>student062@example-interns.edu</t>
        </is>
      </c>
      <c r="E58" s="2" t="inlineStr">
        <is>
          <t>TASK-FSWD-202</t>
        </is>
      </c>
      <c r="F58" s="2" t="n">
        <v>1</v>
      </c>
      <c r="G58" s="2" t="inlineStr">
        <is>
          <t>2026-10-30</t>
        </is>
      </c>
      <c r="H58" s="2" t="inlineStr">
        <is>
          <t>10:00</t>
        </is>
      </c>
      <c r="I58" s="2" t="inlineStr">
        <is>
          <t>Asia/Kolkata</t>
        </is>
      </c>
      <c r="J58" s="2" t="inlineStr">
        <is>
          <t>https://meet.google.com/rev-stu-062</t>
        </is>
      </c>
      <c r="K58" s="2" t="inlineStr">
        <is>
          <t>Pending</t>
        </is>
      </c>
      <c r="L58" s="2" t="inlineStr">
        <is>
          <t>Scheduled</t>
        </is>
      </c>
      <c r="M58" s="2" t="inlineStr">
        <is>
          <t>Prof. Elena Rostova</t>
        </is>
      </c>
      <c r="N58" s="2" t="inlineStr">
        <is>
          <t>Pending</t>
        </is>
      </c>
      <c r="O58" s="2" t="inlineStr">
        <is>
          <t>2026-11-06</t>
        </is>
      </c>
    </row>
    <row r="59">
      <c r="A59" s="3" t="inlineStr">
        <is>
          <t>REV-STU-063-1</t>
        </is>
      </c>
      <c r="B59" s="3" t="inlineStr">
        <is>
          <t>STU-063</t>
        </is>
      </c>
      <c r="C59" s="3" t="inlineStr">
        <is>
          <t>Hassan Adams</t>
        </is>
      </c>
      <c r="D59" s="3" t="inlineStr">
        <is>
          <t>student063@example-interns.edu</t>
        </is>
      </c>
      <c r="E59" s="3" t="inlineStr">
        <is>
          <t>TASK-DATA-301</t>
        </is>
      </c>
      <c r="F59" s="3" t="n">
        <v>1</v>
      </c>
      <c r="G59" s="3" t="inlineStr">
        <is>
          <t>2026-10-30</t>
        </is>
      </c>
      <c r="H59" s="3" t="inlineStr">
        <is>
          <t>10:00</t>
        </is>
      </c>
      <c r="I59" s="3" t="inlineStr">
        <is>
          <t>Asia/Kolkata</t>
        </is>
      </c>
      <c r="J59" s="3" t="inlineStr">
        <is>
          <t>https://meet.google.com/rev-stu-063</t>
        </is>
      </c>
      <c r="K59" s="3" t="inlineStr">
        <is>
          <t>Pending</t>
        </is>
      </c>
      <c r="L59" s="3" t="inlineStr">
        <is>
          <t>Scheduled</t>
        </is>
      </c>
      <c r="M59" s="3" t="inlineStr">
        <is>
          <t>Sarah Jenkins</t>
        </is>
      </c>
      <c r="N59" s="3" t="inlineStr">
        <is>
          <t>Pending</t>
        </is>
      </c>
      <c r="O59" s="3" t="inlineStr">
        <is>
          <t>2026-11-06</t>
        </is>
      </c>
    </row>
    <row r="60">
      <c r="A60" s="2" t="inlineStr">
        <is>
          <t>REV-STU-064-1</t>
        </is>
      </c>
      <c r="B60" s="2" t="inlineStr">
        <is>
          <t>STU-064</t>
        </is>
      </c>
      <c r="C60" s="2" t="inlineStr">
        <is>
          <t>Isabella Hall</t>
        </is>
      </c>
      <c r="D60" s="2" t="inlineStr">
        <is>
          <t>student064@example-interns.edu</t>
        </is>
      </c>
      <c r="E60" s="2" t="inlineStr">
        <is>
          <t>TASK-DEVO-402</t>
        </is>
      </c>
      <c r="F60" s="2" t="n">
        <v>1</v>
      </c>
      <c r="G60" s="2" t="inlineStr">
        <is>
          <t>2026-10-30</t>
        </is>
      </c>
      <c r="H60" s="2" t="inlineStr">
        <is>
          <t>10:00</t>
        </is>
      </c>
      <c r="I60" s="2" t="inlineStr">
        <is>
          <t>Asia/Kolkata</t>
        </is>
      </c>
      <c r="J60" s="2" t="inlineStr">
        <is>
          <t>https://meet.google.com/rev-stu-064</t>
        </is>
      </c>
      <c r="K60" s="2" t="inlineStr">
        <is>
          <t>Pending</t>
        </is>
      </c>
      <c r="L60" s="2" t="inlineStr">
        <is>
          <t>Scheduled</t>
        </is>
      </c>
      <c r="M60" s="2" t="inlineStr">
        <is>
          <t>Rajiv Mehta</t>
        </is>
      </c>
      <c r="N60" s="2" t="inlineStr">
        <is>
          <t>Pending</t>
        </is>
      </c>
      <c r="O60" s="2" t="inlineStr">
        <is>
          <t>2026-11-06</t>
        </is>
      </c>
    </row>
    <row r="61">
      <c r="A61" s="3" t="inlineStr">
        <is>
          <t>REV-STU-065-1</t>
        </is>
      </c>
      <c r="B61" s="3" t="inlineStr">
        <is>
          <t>STU-065</t>
        </is>
      </c>
      <c r="C61" s="3" t="inlineStr">
        <is>
          <t>James Mitchell</t>
        </is>
      </c>
      <c r="D61" s="3" t="inlineStr">
        <is>
          <t>student065@example-interns.edu</t>
        </is>
      </c>
      <c r="E61" s="3" t="inlineStr">
        <is>
          <t>TASK-MOBL-501</t>
        </is>
      </c>
      <c r="F61" s="3" t="n">
        <v>1</v>
      </c>
      <c r="G61" s="3" t="inlineStr">
        <is>
          <t>2026-10-30</t>
        </is>
      </c>
      <c r="H61" s="3" t="inlineStr">
        <is>
          <t>10:00</t>
        </is>
      </c>
      <c r="I61" s="3" t="inlineStr">
        <is>
          <t>Asia/Kolkata</t>
        </is>
      </c>
      <c r="J61" s="3" t="inlineStr">
        <is>
          <t>https://meet.google.com/rev-stu-065</t>
        </is>
      </c>
      <c r="K61" s="3" t="inlineStr">
        <is>
          <t>Pending</t>
        </is>
      </c>
      <c r="L61" s="3" t="inlineStr">
        <is>
          <t>Scheduled</t>
        </is>
      </c>
      <c r="M61" s="3" t="inlineStr">
        <is>
          <t>Marcus Chen</t>
        </is>
      </c>
      <c r="N61" s="3" t="inlineStr">
        <is>
          <t>Pending</t>
        </is>
      </c>
      <c r="O61" s="3" t="inlineStr">
        <is>
          <t>2026-11-06</t>
        </is>
      </c>
    </row>
    <row r="62">
      <c r="A62" s="2" t="inlineStr">
        <is>
          <t>REV-STU-066-1</t>
        </is>
      </c>
      <c r="B62" s="2" t="inlineStr">
        <is>
          <t>STU-066</t>
        </is>
      </c>
      <c r="C62" s="2" t="inlineStr">
        <is>
          <t>Jia Smith</t>
        </is>
      </c>
      <c r="D62" s="2" t="inlineStr">
        <is>
          <t>student066@example-interns.edu</t>
        </is>
      </c>
      <c r="E62" s="2" t="inlineStr">
        <is>
          <t>TASK-CYBR-602</t>
        </is>
      </c>
      <c r="F62" s="2" t="n">
        <v>1</v>
      </c>
      <c r="G62" s="2" t="inlineStr">
        <is>
          <t>2026-10-30</t>
        </is>
      </c>
      <c r="H62" s="2" t="inlineStr">
        <is>
          <t>10:00</t>
        </is>
      </c>
      <c r="I62" s="2" t="inlineStr">
        <is>
          <t>Asia/Kolkata</t>
        </is>
      </c>
      <c r="J62" s="2" t="inlineStr">
        <is>
          <t>https://meet.google.com/rev-stu-066</t>
        </is>
      </c>
      <c r="K62" s="2" t="inlineStr">
        <is>
          <t>Pending</t>
        </is>
      </c>
      <c r="L62" s="2" t="inlineStr">
        <is>
          <t>Scheduled</t>
        </is>
      </c>
      <c r="M62" s="2" t="inlineStr">
        <is>
          <t>Nadia Al-Mansoor</t>
        </is>
      </c>
      <c r="N62" s="2" t="inlineStr">
        <is>
          <t>Pending</t>
        </is>
      </c>
      <c r="O62" s="2" t="inlineStr">
        <is>
          <t>2026-11-06</t>
        </is>
      </c>
    </row>
    <row r="63">
      <c r="A63" s="3" t="inlineStr">
        <is>
          <t>REV-STU-067-1</t>
        </is>
      </c>
      <c r="B63" s="3" t="inlineStr">
        <is>
          <t>STU-067</t>
        </is>
      </c>
      <c r="C63" s="3" t="inlineStr">
        <is>
          <t>Kavya Brown</t>
        </is>
      </c>
      <c r="D63" s="3" t="inlineStr">
        <is>
          <t>student067@example-interns.edu</t>
        </is>
      </c>
      <c r="E63" s="3" t="inlineStr">
        <is>
          <t>TASK-AIML-101</t>
        </is>
      </c>
      <c r="F63" s="3" t="n">
        <v>1</v>
      </c>
      <c r="G63" s="3" t="inlineStr">
        <is>
          <t>2026-10-30</t>
        </is>
      </c>
      <c r="H63" s="3" t="inlineStr">
        <is>
          <t>10:00</t>
        </is>
      </c>
      <c r="I63" s="3" t="inlineStr">
        <is>
          <t>Asia/Kolkata</t>
        </is>
      </c>
      <c r="J63" s="3" t="inlineStr">
        <is>
          <t>https://meet.google.com/rev-stu-067</t>
        </is>
      </c>
      <c r="K63" s="3" t="inlineStr">
        <is>
          <t>Pending</t>
        </is>
      </c>
      <c r="L63" s="3" t="inlineStr">
        <is>
          <t>Scheduled</t>
        </is>
      </c>
      <c r="M63" s="3" t="inlineStr">
        <is>
          <t>Dr. Aris Thorne</t>
        </is>
      </c>
      <c r="N63" s="3" t="inlineStr">
        <is>
          <t>Pending</t>
        </is>
      </c>
      <c r="O63" s="3" t="inlineStr">
        <is>
          <t>2026-11-06</t>
        </is>
      </c>
    </row>
    <row r="64">
      <c r="A64" s="2" t="inlineStr">
        <is>
          <t>REV-STU-068-1</t>
        </is>
      </c>
      <c r="B64" s="2" t="inlineStr">
        <is>
          <t>STU-068</t>
        </is>
      </c>
      <c r="C64" s="2" t="inlineStr">
        <is>
          <t>Liam Miller</t>
        </is>
      </c>
      <c r="D64" s="2" t="inlineStr">
        <is>
          <t>student068@example-interns.edu</t>
        </is>
      </c>
      <c r="E64" s="2" t="inlineStr">
        <is>
          <t>TASK-FSWD-202</t>
        </is>
      </c>
      <c r="F64" s="2" t="n">
        <v>1</v>
      </c>
      <c r="G64" s="2" t="inlineStr">
        <is>
          <t>2026-10-30</t>
        </is>
      </c>
      <c r="H64" s="2" t="inlineStr">
        <is>
          <t>10:00</t>
        </is>
      </c>
      <c r="I64" s="2" t="inlineStr">
        <is>
          <t>Asia/Kolkata</t>
        </is>
      </c>
      <c r="J64" s="2" t="inlineStr">
        <is>
          <t>https://meet.google.com/rev-stu-068</t>
        </is>
      </c>
      <c r="K64" s="2" t="inlineStr">
        <is>
          <t>Pending</t>
        </is>
      </c>
      <c r="L64" s="2" t="inlineStr">
        <is>
          <t>Scheduled</t>
        </is>
      </c>
      <c r="M64" s="2" t="inlineStr">
        <is>
          <t>Prof. Elena Rostova</t>
        </is>
      </c>
      <c r="N64" s="2" t="inlineStr">
        <is>
          <t>Pending</t>
        </is>
      </c>
      <c r="O64" s="2" t="inlineStr">
        <is>
          <t>2026-11-06</t>
        </is>
      </c>
    </row>
    <row r="65">
      <c r="A65" s="3" t="inlineStr">
        <is>
          <t>REV-STU-069-1</t>
        </is>
      </c>
      <c r="B65" s="3" t="inlineStr">
        <is>
          <t>STU-069</t>
        </is>
      </c>
      <c r="C65" s="3" t="inlineStr">
        <is>
          <t>Maya Martinez</t>
        </is>
      </c>
      <c r="D65" s="3" t="inlineStr">
        <is>
          <t>student069@example-interns.edu</t>
        </is>
      </c>
      <c r="E65" s="3" t="inlineStr">
        <is>
          <t>TASK-DATA-301</t>
        </is>
      </c>
      <c r="F65" s="3" t="n">
        <v>1</v>
      </c>
      <c r="G65" s="3" t="inlineStr">
        <is>
          <t>2026-10-30</t>
        </is>
      </c>
      <c r="H65" s="3" t="inlineStr">
        <is>
          <t>10:00</t>
        </is>
      </c>
      <c r="I65" s="3" t="inlineStr">
        <is>
          <t>Asia/Kolkata</t>
        </is>
      </c>
      <c r="J65" s="3" t="inlineStr">
        <is>
          <t>https://meet.google.com/rev-stu-069</t>
        </is>
      </c>
      <c r="K65" s="3" t="inlineStr">
        <is>
          <t>Pending</t>
        </is>
      </c>
      <c r="L65" s="3" t="inlineStr">
        <is>
          <t>Scheduled</t>
        </is>
      </c>
      <c r="M65" s="3" t="inlineStr">
        <is>
          <t>Sarah Jenkins</t>
        </is>
      </c>
      <c r="N65" s="3" t="inlineStr">
        <is>
          <t>Pending</t>
        </is>
      </c>
      <c r="O65" s="3" t="inlineStr">
        <is>
          <t>2026-11-06</t>
        </is>
      </c>
    </row>
    <row r="66">
      <c r="A66" s="2" t="inlineStr">
        <is>
          <t>REV-STU-070-1</t>
        </is>
      </c>
      <c r="B66" s="2" t="inlineStr">
        <is>
          <t>STU-070</t>
        </is>
      </c>
      <c r="C66" s="2" t="inlineStr">
        <is>
          <t>Noah Gonzalez</t>
        </is>
      </c>
      <c r="D66" s="2" t="inlineStr">
        <is>
          <t>student070@example-interns.edu</t>
        </is>
      </c>
      <c r="E66" s="2" t="inlineStr">
        <is>
          <t>TASK-DEVO-402</t>
        </is>
      </c>
      <c r="F66" s="2" t="n">
        <v>1</v>
      </c>
      <c r="G66" s="2" t="inlineStr">
        <is>
          <t>2026-10-30</t>
        </is>
      </c>
      <c r="H66" s="2" t="inlineStr">
        <is>
          <t>10:00</t>
        </is>
      </c>
      <c r="I66" s="2" t="inlineStr">
        <is>
          <t>Asia/Kolkata</t>
        </is>
      </c>
      <c r="J66" s="2" t="inlineStr">
        <is>
          <t>https://meet.google.com/rev-stu-070</t>
        </is>
      </c>
      <c r="K66" s="2" t="inlineStr">
        <is>
          <t>Pending</t>
        </is>
      </c>
      <c r="L66" s="2" t="inlineStr">
        <is>
          <t>Scheduled</t>
        </is>
      </c>
      <c r="M66" s="2" t="inlineStr">
        <is>
          <t>Rajiv Mehta</t>
        </is>
      </c>
      <c r="N66" s="2" t="inlineStr">
        <is>
          <t>Pending</t>
        </is>
      </c>
      <c r="O66" s="2" t="inlineStr">
        <is>
          <t>2026-11-06</t>
        </is>
      </c>
    </row>
    <row r="67">
      <c r="A67" s="3" t="inlineStr">
        <is>
          <t>REV-STU-071-1</t>
        </is>
      </c>
      <c r="B67" s="3" t="inlineStr">
        <is>
          <t>STU-071</t>
        </is>
      </c>
      <c r="C67" s="3" t="inlineStr">
        <is>
          <t>Olivia Thomas</t>
        </is>
      </c>
      <c r="D67" s="3" t="inlineStr">
        <is>
          <t>student071@example-interns.edu</t>
        </is>
      </c>
      <c r="E67" s="3" t="inlineStr">
        <is>
          <t>TASK-MOBL-501</t>
        </is>
      </c>
      <c r="F67" s="3" t="n">
        <v>1</v>
      </c>
      <c r="G67" s="3" t="inlineStr">
        <is>
          <t>2026-10-30</t>
        </is>
      </c>
      <c r="H67" s="3" t="inlineStr">
        <is>
          <t>10:00</t>
        </is>
      </c>
      <c r="I67" s="3" t="inlineStr">
        <is>
          <t>Asia/Kolkata</t>
        </is>
      </c>
      <c r="J67" s="3" t="inlineStr">
        <is>
          <t>https://meet.google.com/rev-stu-071</t>
        </is>
      </c>
      <c r="K67" s="3" t="inlineStr">
        <is>
          <t>Pending</t>
        </is>
      </c>
      <c r="L67" s="3" t="inlineStr">
        <is>
          <t>Scheduled</t>
        </is>
      </c>
      <c r="M67" s="3" t="inlineStr">
        <is>
          <t>Marcus Chen</t>
        </is>
      </c>
      <c r="N67" s="3" t="inlineStr">
        <is>
          <t>Pending</t>
        </is>
      </c>
      <c r="O67" s="3" t="inlineStr">
        <is>
          <t>2026-11-06</t>
        </is>
      </c>
    </row>
    <row r="68">
      <c r="A68" s="2" t="inlineStr">
        <is>
          <t>REV-STU-072-1</t>
        </is>
      </c>
      <c r="B68" s="2" t="inlineStr">
        <is>
          <t>STU-072</t>
        </is>
      </c>
      <c r="C68" s="2" t="inlineStr">
        <is>
          <t>Priya Jackson</t>
        </is>
      </c>
      <c r="D68" s="2" t="inlineStr">
        <is>
          <t>student072@example-interns.edu</t>
        </is>
      </c>
      <c r="E68" s="2" t="inlineStr">
        <is>
          <t>TASK-CYBR-602</t>
        </is>
      </c>
      <c r="F68" s="2" t="n">
        <v>1</v>
      </c>
      <c r="G68" s="2" t="inlineStr">
        <is>
          <t>2026-10-30</t>
        </is>
      </c>
      <c r="H68" s="2" t="inlineStr">
        <is>
          <t>10:00</t>
        </is>
      </c>
      <c r="I68" s="2" t="inlineStr">
        <is>
          <t>Asia/Kolkata</t>
        </is>
      </c>
      <c r="J68" s="2" t="inlineStr">
        <is>
          <t>https://meet.google.com/rev-stu-072</t>
        </is>
      </c>
      <c r="K68" s="2" t="inlineStr">
        <is>
          <t>Pending</t>
        </is>
      </c>
      <c r="L68" s="2" t="inlineStr">
        <is>
          <t>Scheduled</t>
        </is>
      </c>
      <c r="M68" s="2" t="inlineStr">
        <is>
          <t>Nadia Al-Mansoor</t>
        </is>
      </c>
      <c r="N68" s="2" t="inlineStr">
        <is>
          <t>Pending</t>
        </is>
      </c>
      <c r="O68" s="2" t="inlineStr">
        <is>
          <t>2026-11-06</t>
        </is>
      </c>
    </row>
    <row r="69">
      <c r="A69" s="3" t="inlineStr">
        <is>
          <t>REV-STU-073-1</t>
        </is>
      </c>
      <c r="B69" s="3" t="inlineStr">
        <is>
          <t>STU-073</t>
        </is>
      </c>
      <c r="C69" s="3" t="inlineStr">
        <is>
          <t>Quentin Perez</t>
        </is>
      </c>
      <c r="D69" s="3" t="inlineStr">
        <is>
          <t>student073@example-interns.edu</t>
        </is>
      </c>
      <c r="E69" s="3" t="inlineStr">
        <is>
          <t>TASK-AIML-101</t>
        </is>
      </c>
      <c r="F69" s="3" t="n">
        <v>1</v>
      </c>
      <c r="G69" s="3" t="inlineStr">
        <is>
          <t>2026-10-30</t>
        </is>
      </c>
      <c r="H69" s="3" t="inlineStr">
        <is>
          <t>10:00</t>
        </is>
      </c>
      <c r="I69" s="3" t="inlineStr">
        <is>
          <t>Asia/Kolkata</t>
        </is>
      </c>
      <c r="J69" s="3" t="inlineStr">
        <is>
          <t>https://meet.google.com/rev-stu-073</t>
        </is>
      </c>
      <c r="K69" s="3" t="inlineStr">
        <is>
          <t>Pending</t>
        </is>
      </c>
      <c r="L69" s="3" t="inlineStr">
        <is>
          <t>Scheduled</t>
        </is>
      </c>
      <c r="M69" s="3" t="inlineStr">
        <is>
          <t>Dr. Aris Thorne</t>
        </is>
      </c>
      <c r="N69" s="3" t="inlineStr">
        <is>
          <t>Pending</t>
        </is>
      </c>
      <c r="O69" s="3" t="inlineStr">
        <is>
          <t>2026-11-06</t>
        </is>
      </c>
    </row>
    <row r="70">
      <c r="A70" s="2" t="inlineStr">
        <is>
          <t>REV-STU-074-1</t>
        </is>
      </c>
      <c r="B70" s="2" t="inlineStr">
        <is>
          <t>STU-074</t>
        </is>
      </c>
      <c r="C70" s="2" t="inlineStr">
        <is>
          <t>Rohan Harris</t>
        </is>
      </c>
      <c r="D70" s="2" t="inlineStr">
        <is>
          <t>student074@example-interns.edu</t>
        </is>
      </c>
      <c r="E70" s="2" t="inlineStr">
        <is>
          <t>TASK-FSWD-202</t>
        </is>
      </c>
      <c r="F70" s="2" t="n">
        <v>1</v>
      </c>
      <c r="G70" s="2" t="inlineStr">
        <is>
          <t>2026-10-30</t>
        </is>
      </c>
      <c r="H70" s="2" t="inlineStr">
        <is>
          <t>10:00</t>
        </is>
      </c>
      <c r="I70" s="2" t="inlineStr">
        <is>
          <t>Asia/Kolkata</t>
        </is>
      </c>
      <c r="J70" s="2" t="inlineStr">
        <is>
          <t>https://meet.google.com/rev-stu-074</t>
        </is>
      </c>
      <c r="K70" s="2" t="inlineStr">
        <is>
          <t>Pending</t>
        </is>
      </c>
      <c r="L70" s="2" t="inlineStr">
        <is>
          <t>Scheduled</t>
        </is>
      </c>
      <c r="M70" s="2" t="inlineStr">
        <is>
          <t>Prof. Elena Rostova</t>
        </is>
      </c>
      <c r="N70" s="2" t="inlineStr">
        <is>
          <t>Pending</t>
        </is>
      </c>
      <c r="O70" s="2" t="inlineStr">
        <is>
          <t>2026-11-06</t>
        </is>
      </c>
    </row>
    <row r="71">
      <c r="A71" s="3" t="inlineStr">
        <is>
          <t>REV-STU-075-1</t>
        </is>
      </c>
      <c r="B71" s="3" t="inlineStr">
        <is>
          <t>STU-075</t>
        </is>
      </c>
      <c r="C71" s="3" t="inlineStr">
        <is>
          <t>Sophia Ramirez</t>
        </is>
      </c>
      <c r="D71" s="3" t="inlineStr">
        <is>
          <t>student075@example-interns.edu</t>
        </is>
      </c>
      <c r="E71" s="3" t="inlineStr">
        <is>
          <t>TASK-DATA-301</t>
        </is>
      </c>
      <c r="F71" s="3" t="n">
        <v>1</v>
      </c>
      <c r="G71" s="3" t="inlineStr">
        <is>
          <t>2026-10-30</t>
        </is>
      </c>
      <c r="H71" s="3" t="inlineStr">
        <is>
          <t>10:00</t>
        </is>
      </c>
      <c r="I71" s="3" t="inlineStr">
        <is>
          <t>Asia/Kolkata</t>
        </is>
      </c>
      <c r="J71" s="3" t="inlineStr">
        <is>
          <t>https://meet.google.com/rev-stu-075</t>
        </is>
      </c>
      <c r="K71" s="3" t="inlineStr">
        <is>
          <t>Pending</t>
        </is>
      </c>
      <c r="L71" s="3" t="inlineStr">
        <is>
          <t>Scheduled</t>
        </is>
      </c>
      <c r="M71" s="3" t="inlineStr">
        <is>
          <t>Sarah Jenkins</t>
        </is>
      </c>
      <c r="N71" s="3" t="inlineStr">
        <is>
          <t>Pending</t>
        </is>
      </c>
      <c r="O71" s="3" t="inlineStr">
        <is>
          <t>2026-11-06</t>
        </is>
      </c>
    </row>
    <row r="72">
      <c r="A72" s="2" t="inlineStr">
        <is>
          <t>REV-STU-089-1</t>
        </is>
      </c>
      <c r="B72" s="2" t="inlineStr">
        <is>
          <t>STU-089</t>
        </is>
      </c>
      <c r="C72" s="2" t="inlineStr">
        <is>
          <t>Ines Martin</t>
        </is>
      </c>
      <c r="D72" s="2" t="inlineStr">
        <is>
          <t>student089@example-interns.edu</t>
        </is>
      </c>
      <c r="E72" s="2" t="inlineStr">
        <is>
          <t>TASK-MOBL-501</t>
        </is>
      </c>
      <c r="F72" s="2" t="n">
        <v>1</v>
      </c>
      <c r="G72" s="2" t="inlineStr">
        <is>
          <t>2026-11-02</t>
        </is>
      </c>
      <c r="H72" s="2" t="inlineStr">
        <is>
          <t>15:00</t>
        </is>
      </c>
      <c r="I72" s="2" t="inlineStr">
        <is>
          <t>Asia/Kolkata</t>
        </is>
      </c>
      <c r="J72" s="2" t="inlineStr">
        <is>
          <t>https://meet.google.com/rev-stu-089</t>
        </is>
      </c>
      <c r="K72" s="2" t="inlineStr">
        <is>
          <t>Pending</t>
        </is>
      </c>
      <c r="L72" s="2" t="inlineStr">
        <is>
          <t>Scheduled</t>
        </is>
      </c>
      <c r="M72" s="2" t="inlineStr">
        <is>
          <t>Marcus Chen</t>
        </is>
      </c>
      <c r="N72" s="2" t="inlineStr">
        <is>
          <t>Pending</t>
        </is>
      </c>
      <c r="O72" s="2" t="inlineStr">
        <is>
          <t>2026-11-09</t>
        </is>
      </c>
    </row>
    <row r="73">
      <c r="A73" s="3" t="inlineStr">
        <is>
          <t>REV-STU-090-1</t>
        </is>
      </c>
      <c r="B73" s="3" t="inlineStr">
        <is>
          <t>STU-090</t>
        </is>
      </c>
      <c r="C73" s="3" t="inlineStr">
        <is>
          <t>Jack Thompson</t>
        </is>
      </c>
      <c r="D73" s="3" t="inlineStr">
        <is>
          <t>student090@example-interns.edu</t>
        </is>
      </c>
      <c r="E73" s="3" t="inlineStr">
        <is>
          <t>TASK-CYBR-602</t>
        </is>
      </c>
      <c r="F73" s="3" t="n">
        <v>1</v>
      </c>
      <c r="G73" s="3" t="inlineStr">
        <is>
          <t>2026-11-02</t>
        </is>
      </c>
      <c r="H73" s="3" t="inlineStr">
        <is>
          <t>15:00</t>
        </is>
      </c>
      <c r="I73" s="3" t="inlineStr">
        <is>
          <t>Asia/Kolkata</t>
        </is>
      </c>
      <c r="J73" s="3" t="inlineStr">
        <is>
          <t>https://meet.google.com/rev-stu-090</t>
        </is>
      </c>
      <c r="K73" s="3" t="inlineStr">
        <is>
          <t>Pending</t>
        </is>
      </c>
      <c r="L73" s="3" t="inlineStr">
        <is>
          <t>Scheduled</t>
        </is>
      </c>
      <c r="M73" s="3" t="inlineStr">
        <is>
          <t>Nadia Al-Mansoor</t>
        </is>
      </c>
      <c r="N73" s="3" t="inlineStr">
        <is>
          <t>Pending</t>
        </is>
      </c>
      <c r="O73" s="3" t="inlineStr">
        <is>
          <t>2026-11-09</t>
        </is>
      </c>
    </row>
    <row r="74">
      <c r="A74" s="2" t="inlineStr">
        <is>
          <t>REV-STU-091-1</t>
        </is>
      </c>
      <c r="B74" s="2" t="inlineStr">
        <is>
          <t>STU-091</t>
        </is>
      </c>
      <c r="C74" s="2" t="inlineStr">
        <is>
          <t>Kiran Sanchez</t>
        </is>
      </c>
      <c r="D74" s="2" t="inlineStr">
        <is>
          <t>student091@example-interns.edu</t>
        </is>
      </c>
      <c r="E74" s="2" t="inlineStr">
        <is>
          <t>TASK-AIML-101</t>
        </is>
      </c>
      <c r="F74" s="2" t="n">
        <v>1</v>
      </c>
      <c r="G74" s="2" t="inlineStr">
        <is>
          <t>2026-11-02</t>
        </is>
      </c>
      <c r="H74" s="2" t="inlineStr">
        <is>
          <t>15:00</t>
        </is>
      </c>
      <c r="I74" s="2" t="inlineStr">
        <is>
          <t>Asia/Kolkata</t>
        </is>
      </c>
      <c r="J74" s="2" t="inlineStr">
        <is>
          <t>https://meet.google.com/rev-stu-091</t>
        </is>
      </c>
      <c r="K74" s="2" t="inlineStr">
        <is>
          <t>Pending</t>
        </is>
      </c>
      <c r="L74" s="2" t="inlineStr">
        <is>
          <t>Scheduled</t>
        </is>
      </c>
      <c r="M74" s="2" t="inlineStr">
        <is>
          <t>Dr. Aris Thorne</t>
        </is>
      </c>
      <c r="N74" s="2" t="inlineStr">
        <is>
          <t>Pending</t>
        </is>
      </c>
      <c r="O74" s="2" t="inlineStr">
        <is>
          <t>2026-11-09</t>
        </is>
      </c>
    </row>
    <row r="75">
      <c r="A75" s="3" t="inlineStr">
        <is>
          <t>REV-STU-092-1</t>
        </is>
      </c>
      <c r="B75" s="3" t="inlineStr">
        <is>
          <t>STU-092</t>
        </is>
      </c>
      <c r="C75" s="3" t="inlineStr">
        <is>
          <t>Lucas Lewis</t>
        </is>
      </c>
      <c r="D75" s="3" t="inlineStr">
        <is>
          <t>student092@example-interns.edu</t>
        </is>
      </c>
      <c r="E75" s="3" t="inlineStr">
        <is>
          <t>TASK-FSWD-202</t>
        </is>
      </c>
      <c r="F75" s="3" t="n">
        <v>1</v>
      </c>
      <c r="G75" s="3" t="inlineStr">
        <is>
          <t>2026-11-02</t>
        </is>
      </c>
      <c r="H75" s="3" t="inlineStr">
        <is>
          <t>15:00</t>
        </is>
      </c>
      <c r="I75" s="3" t="inlineStr">
        <is>
          <t>Asia/Kolkata</t>
        </is>
      </c>
      <c r="J75" s="3" t="inlineStr">
        <is>
          <t>https://meet.google.com/rev-stu-092</t>
        </is>
      </c>
      <c r="K75" s="3" t="inlineStr">
        <is>
          <t>Pending</t>
        </is>
      </c>
      <c r="L75" s="3" t="inlineStr">
        <is>
          <t>Scheduled</t>
        </is>
      </c>
      <c r="M75" s="3" t="inlineStr">
        <is>
          <t>Prof. Elena Rostova</t>
        </is>
      </c>
      <c r="N75" s="3" t="inlineStr">
        <is>
          <t>Pending</t>
        </is>
      </c>
      <c r="O75" s="3" t="inlineStr">
        <is>
          <t>2026-11-09</t>
        </is>
      </c>
    </row>
    <row r="76">
      <c r="A76" s="2" t="inlineStr">
        <is>
          <t>REV-STU-093-1</t>
        </is>
      </c>
      <c r="B76" s="2" t="inlineStr">
        <is>
          <t>STU-093</t>
        </is>
      </c>
      <c r="C76" s="2" t="inlineStr">
        <is>
          <t>Mei Young</t>
        </is>
      </c>
      <c r="D76" s="2" t="inlineStr">
        <is>
          <t>student093@example-interns.edu</t>
        </is>
      </c>
      <c r="E76" s="2" t="inlineStr">
        <is>
          <t>TASK-DATA-301</t>
        </is>
      </c>
      <c r="F76" s="2" t="n">
        <v>1</v>
      </c>
      <c r="G76" s="2" t="inlineStr">
        <is>
          <t>2026-11-02</t>
        </is>
      </c>
      <c r="H76" s="2" t="inlineStr">
        <is>
          <t>15:00</t>
        </is>
      </c>
      <c r="I76" s="2" t="inlineStr">
        <is>
          <t>Asia/Kolkata</t>
        </is>
      </c>
      <c r="J76" s="2" t="inlineStr">
        <is>
          <t>https://meet.google.com/rev-stu-093</t>
        </is>
      </c>
      <c r="K76" s="2" t="inlineStr">
        <is>
          <t>Pending</t>
        </is>
      </c>
      <c r="L76" s="2" t="inlineStr">
        <is>
          <t>Scheduled</t>
        </is>
      </c>
      <c r="M76" s="2" t="inlineStr">
        <is>
          <t>Sarah Jenkins</t>
        </is>
      </c>
      <c r="N76" s="2" t="inlineStr">
        <is>
          <t>Pending</t>
        </is>
      </c>
      <c r="O76" s="2" t="inlineStr">
        <is>
          <t>2026-11-09</t>
        </is>
      </c>
    </row>
    <row r="77">
      <c r="A77" s="3" t="inlineStr">
        <is>
          <t>REV-STU-094-1</t>
        </is>
      </c>
      <c r="B77" s="3" t="inlineStr">
        <is>
          <t>STU-094</t>
        </is>
      </c>
      <c r="C77" s="3" t="inlineStr">
        <is>
          <t>Nathan Wright</t>
        </is>
      </c>
      <c r="D77" s="3" t="inlineStr">
        <is>
          <t>student094@example-interns.edu</t>
        </is>
      </c>
      <c r="E77" s="3" t="inlineStr">
        <is>
          <t>TASK-DEVO-402</t>
        </is>
      </c>
      <c r="F77" s="3" t="n">
        <v>1</v>
      </c>
      <c r="G77" s="3" t="inlineStr">
        <is>
          <t>2026-11-02</t>
        </is>
      </c>
      <c r="H77" s="3" t="inlineStr">
        <is>
          <t>15:00</t>
        </is>
      </c>
      <c r="I77" s="3" t="inlineStr">
        <is>
          <t>Asia/Kolkata</t>
        </is>
      </c>
      <c r="J77" s="3" t="inlineStr">
        <is>
          <t>https://meet.google.com/rev-stu-094</t>
        </is>
      </c>
      <c r="K77" s="3" t="inlineStr">
        <is>
          <t>Pending</t>
        </is>
      </c>
      <c r="L77" s="3" t="inlineStr">
        <is>
          <t>Scheduled</t>
        </is>
      </c>
      <c r="M77" s="3" t="inlineStr">
        <is>
          <t>Rajiv Mehta</t>
        </is>
      </c>
      <c r="N77" s="3" t="inlineStr">
        <is>
          <t>Pending</t>
        </is>
      </c>
      <c r="O77" s="3" t="inlineStr">
        <is>
          <t>2026-11-09</t>
        </is>
      </c>
    </row>
    <row r="78">
      <c r="A78" s="2" t="inlineStr">
        <is>
          <t>REV-STU-095-1</t>
        </is>
      </c>
      <c r="B78" s="2" t="inlineStr">
        <is>
          <t>STU-095</t>
        </is>
      </c>
      <c r="C78" s="2" t="inlineStr">
        <is>
          <t>Oscar Nguyen</t>
        </is>
      </c>
      <c r="D78" s="2" t="inlineStr">
        <is>
          <t>student095@example-interns.edu</t>
        </is>
      </c>
      <c r="E78" s="2" t="inlineStr">
        <is>
          <t>TASK-MOBL-501</t>
        </is>
      </c>
      <c r="F78" s="2" t="n">
        <v>1</v>
      </c>
      <c r="G78" s="2" t="inlineStr">
        <is>
          <t>2026-11-02</t>
        </is>
      </c>
      <c r="H78" s="2" t="inlineStr">
        <is>
          <t>15:00</t>
        </is>
      </c>
      <c r="I78" s="2" t="inlineStr">
        <is>
          <t>Asia/Kolkata</t>
        </is>
      </c>
      <c r="J78" s="2" t="inlineStr">
        <is>
          <t>https://meet.google.com/rev-stu-095</t>
        </is>
      </c>
      <c r="K78" s="2" t="inlineStr">
        <is>
          <t>Pending</t>
        </is>
      </c>
      <c r="L78" s="2" t="inlineStr">
        <is>
          <t>Scheduled</t>
        </is>
      </c>
      <c r="M78" s="2" t="inlineStr">
        <is>
          <t>Marcus Chen</t>
        </is>
      </c>
      <c r="N78" s="2" t="inlineStr">
        <is>
          <t>Pending</t>
        </is>
      </c>
      <c r="O78" s="2" t="inlineStr">
        <is>
          <t>2026-11-09</t>
        </is>
      </c>
    </row>
    <row r="79">
      <c r="A79" s="3" t="inlineStr">
        <is>
          <t>REV-STU-096-1</t>
        </is>
      </c>
      <c r="B79" s="3" t="inlineStr">
        <is>
          <t>STU-096</t>
        </is>
      </c>
      <c r="C79" s="3" t="inlineStr">
        <is>
          <t>Pooja Green</t>
        </is>
      </c>
      <c r="D79" s="3" t="inlineStr">
        <is>
          <t>student096@example-interns.edu</t>
        </is>
      </c>
      <c r="E79" s="3" t="inlineStr">
        <is>
          <t>TASK-CYBR-602</t>
        </is>
      </c>
      <c r="F79" s="3" t="n">
        <v>1</v>
      </c>
      <c r="G79" s="3" t="inlineStr">
        <is>
          <t>2026-11-02</t>
        </is>
      </c>
      <c r="H79" s="3" t="inlineStr">
        <is>
          <t>15:00</t>
        </is>
      </c>
      <c r="I79" s="3" t="inlineStr">
        <is>
          <t>Asia/Kolkata</t>
        </is>
      </c>
      <c r="J79" s="3" t="inlineStr">
        <is>
          <t>https://meet.google.com/rev-stu-096</t>
        </is>
      </c>
      <c r="K79" s="3" t="inlineStr">
        <is>
          <t>Pending</t>
        </is>
      </c>
      <c r="L79" s="3" t="inlineStr">
        <is>
          <t>Scheduled</t>
        </is>
      </c>
      <c r="M79" s="3" t="inlineStr">
        <is>
          <t>Nadia Al-Mansoor</t>
        </is>
      </c>
      <c r="N79" s="3" t="inlineStr">
        <is>
          <t>Pending</t>
        </is>
      </c>
      <c r="O79" s="3" t="inlineStr">
        <is>
          <t>2026-11-09</t>
        </is>
      </c>
    </row>
    <row r="80">
      <c r="A80" s="2" t="inlineStr">
        <is>
          <t>REV-STU-097-1</t>
        </is>
      </c>
      <c r="B80" s="2" t="inlineStr">
        <is>
          <t>STU-097</t>
        </is>
      </c>
      <c r="C80" s="2" t="inlineStr">
        <is>
          <t>Rahul Baker</t>
        </is>
      </c>
      <c r="D80" s="2" t="inlineStr">
        <is>
          <t>student097@example-interns.edu</t>
        </is>
      </c>
      <c r="E80" s="2" t="inlineStr">
        <is>
          <t>TASK-AIML-101</t>
        </is>
      </c>
      <c r="F80" s="2" t="n">
        <v>1</v>
      </c>
      <c r="G80" s="2" t="inlineStr">
        <is>
          <t>2026-11-02</t>
        </is>
      </c>
      <c r="H80" s="2" t="inlineStr">
        <is>
          <t>15:00</t>
        </is>
      </c>
      <c r="I80" s="2" t="inlineStr">
        <is>
          <t>Asia/Kolkata</t>
        </is>
      </c>
      <c r="J80" s="2" t="inlineStr">
        <is>
          <t>https://meet.google.com/rev-stu-097</t>
        </is>
      </c>
      <c r="K80" s="2" t="inlineStr">
        <is>
          <t>Pending</t>
        </is>
      </c>
      <c r="L80" s="2" t="inlineStr">
        <is>
          <t>Scheduled</t>
        </is>
      </c>
      <c r="M80" s="2" t="inlineStr">
        <is>
          <t>Dr. Aris Thorne</t>
        </is>
      </c>
      <c r="N80" s="2" t="inlineStr">
        <is>
          <t>Pending</t>
        </is>
      </c>
      <c r="O80" s="2" t="inlineStr">
        <is>
          <t>2026-11-09</t>
        </is>
      </c>
    </row>
    <row r="81">
      <c r="A81" s="3" t="inlineStr">
        <is>
          <t>REV-STU-098-1</t>
        </is>
      </c>
      <c r="B81" s="3" t="inlineStr">
        <is>
          <t>STU-098</t>
        </is>
      </c>
      <c r="C81" s="3" t="inlineStr">
        <is>
          <t>Sara Campbell</t>
        </is>
      </c>
      <c r="D81" s="3" t="inlineStr">
        <is>
          <t>student098@example-interns.edu</t>
        </is>
      </c>
      <c r="E81" s="3" t="inlineStr">
        <is>
          <t>TASK-FSWD-202</t>
        </is>
      </c>
      <c r="F81" s="3" t="n">
        <v>1</v>
      </c>
      <c r="G81" s="3" t="inlineStr">
        <is>
          <t>2026-11-02</t>
        </is>
      </c>
      <c r="H81" s="3" t="inlineStr">
        <is>
          <t>15:00</t>
        </is>
      </c>
      <c r="I81" s="3" t="inlineStr">
        <is>
          <t>Asia/Kolkata</t>
        </is>
      </c>
      <c r="J81" s="3" t="inlineStr">
        <is>
          <t>https://meet.google.com/rev-stu-098</t>
        </is>
      </c>
      <c r="K81" s="3" t="inlineStr">
        <is>
          <t>Pending</t>
        </is>
      </c>
      <c r="L81" s="3" t="inlineStr">
        <is>
          <t>Scheduled</t>
        </is>
      </c>
      <c r="M81" s="3" t="inlineStr">
        <is>
          <t>Prof. Elena Rostova</t>
        </is>
      </c>
      <c r="N81" s="3" t="inlineStr">
        <is>
          <t>Pending</t>
        </is>
      </c>
      <c r="O81" s="3" t="inlineStr">
        <is>
          <t>2026-11-09</t>
        </is>
      </c>
    </row>
    <row r="82">
      <c r="A82" s="2" t="inlineStr">
        <is>
          <t>REV-STU-099-1</t>
        </is>
      </c>
      <c r="B82" s="2" t="inlineStr">
        <is>
          <t>STU-099</t>
        </is>
      </c>
      <c r="C82" s="2" t="inlineStr">
        <is>
          <t>Tom Sharma</t>
        </is>
      </c>
      <c r="D82" s="2" t="inlineStr">
        <is>
          <t>student099@example-interns.edu</t>
        </is>
      </c>
      <c r="E82" s="2" t="inlineStr">
        <is>
          <t>TASK-DATA-301</t>
        </is>
      </c>
      <c r="F82" s="2" t="n">
        <v>1</v>
      </c>
      <c r="G82" s="2" t="inlineStr">
        <is>
          <t>2026-11-02</t>
        </is>
      </c>
      <c r="H82" s="2" t="inlineStr">
        <is>
          <t>15:00</t>
        </is>
      </c>
      <c r="I82" s="2" t="inlineStr">
        <is>
          <t>Asia/Kolkata</t>
        </is>
      </c>
      <c r="J82" s="2" t="inlineStr">
        <is>
          <t>https://meet.google.com/rev-stu-099</t>
        </is>
      </c>
      <c r="K82" s="2" t="inlineStr">
        <is>
          <t>Pending</t>
        </is>
      </c>
      <c r="L82" s="2" t="inlineStr">
        <is>
          <t>Scheduled</t>
        </is>
      </c>
      <c r="M82" s="2" t="inlineStr">
        <is>
          <t>Sarah Jenkins</t>
        </is>
      </c>
      <c r="N82" s="2" t="inlineStr">
        <is>
          <t>Pending</t>
        </is>
      </c>
      <c r="O82" s="2" t="inlineStr">
        <is>
          <t>2026-11-09</t>
        </is>
      </c>
    </row>
    <row r="83">
      <c r="A83" s="3" t="inlineStr">
        <is>
          <t>REV-STU-100-1</t>
        </is>
      </c>
      <c r="B83" s="3" t="inlineStr">
        <is>
          <t>STU-100</t>
        </is>
      </c>
      <c r="C83" s="3" t="inlineStr">
        <is>
          <t>Valeria Williams</t>
        </is>
      </c>
      <c r="D83" s="3" t="inlineStr">
        <is>
          <t>student100@example-interns.edu</t>
        </is>
      </c>
      <c r="E83" s="3" t="inlineStr">
        <is>
          <t>TASK-DEVO-402</t>
        </is>
      </c>
      <c r="F83" s="3" t="n">
        <v>1</v>
      </c>
      <c r="G83" s="3" t="inlineStr">
        <is>
          <t>2026-11-02</t>
        </is>
      </c>
      <c r="H83" s="3" t="inlineStr">
        <is>
          <t>15:00</t>
        </is>
      </c>
      <c r="I83" s="3" t="inlineStr">
        <is>
          <t>Asia/Kolkata</t>
        </is>
      </c>
      <c r="J83" s="3" t="inlineStr">
        <is>
          <t>https://meet.google.com/rev-stu-100</t>
        </is>
      </c>
      <c r="K83" s="3" t="inlineStr">
        <is>
          <t>Pending</t>
        </is>
      </c>
      <c r="L83" s="3" t="inlineStr">
        <is>
          <t>Scheduled</t>
        </is>
      </c>
      <c r="M83" s="3" t="inlineStr">
        <is>
          <t>Rajiv Mehta</t>
        </is>
      </c>
      <c r="N83" s="3" t="inlineStr">
        <is>
          <t>Pending</t>
        </is>
      </c>
      <c r="O83" s="3" t="inlineStr">
        <is>
          <t>2026-11-09</t>
        </is>
      </c>
    </row>
    <row r="84">
      <c r="A84" s="2" t="inlineStr">
        <is>
          <t>REV-STU-011-3</t>
        </is>
      </c>
      <c r="B84" s="2" t="inlineStr">
        <is>
          <t>STU-011</t>
        </is>
      </c>
      <c r="C84" s="2" t="inlineStr">
        <is>
          <t>Gabriel Scott</t>
        </is>
      </c>
      <c r="D84" s="2" t="inlineStr">
        <is>
          <t>student011@example-interns.edu</t>
        </is>
      </c>
      <c r="E84" s="2" t="inlineStr">
        <is>
          <t>TASK-MOBL-501</t>
        </is>
      </c>
      <c r="F84" s="2" t="n">
        <v>3</v>
      </c>
      <c r="G84" s="2" t="inlineStr">
        <is>
          <t>2026-11-05</t>
        </is>
      </c>
      <c r="H84" s="2" t="inlineStr">
        <is>
          <t>14:00</t>
        </is>
      </c>
      <c r="I84" s="2" t="inlineStr">
        <is>
          <t>Asia/Kolkata</t>
        </is>
      </c>
      <c r="J84" s="2" t="inlineStr">
        <is>
          <t>https://meet.google.com/rev-stu-011</t>
        </is>
      </c>
      <c r="K84" s="2" t="inlineStr">
        <is>
          <t>Pending</t>
        </is>
      </c>
      <c r="L84" s="2" t="inlineStr">
        <is>
          <t>Scheduled</t>
        </is>
      </c>
      <c r="M84" s="2" t="inlineStr">
        <is>
          <t>Marcus Chen</t>
        </is>
      </c>
      <c r="N84" s="2" t="inlineStr">
        <is>
          <t>Pending</t>
        </is>
      </c>
      <c r="O84" s="2" t="inlineStr">
        <is>
          <t>2026-11-12</t>
        </is>
      </c>
    </row>
    <row r="85">
      <c r="A85" s="3" t="inlineStr">
        <is>
          <t>REV-STU-012-3</t>
        </is>
      </c>
      <c r="B85" s="3" t="inlineStr">
        <is>
          <t>STU-012</t>
        </is>
      </c>
      <c r="C85" s="3" t="inlineStr">
        <is>
          <t>Grace Hill</t>
        </is>
      </c>
      <c r="D85" s="3" t="inlineStr">
        <is>
          <t>student012@example-interns.edu</t>
        </is>
      </c>
      <c r="E85" s="3" t="inlineStr">
        <is>
          <t>TASK-CYBR-602</t>
        </is>
      </c>
      <c r="F85" s="3" t="n">
        <v>3</v>
      </c>
      <c r="G85" s="3" t="inlineStr">
        <is>
          <t>2026-11-05</t>
        </is>
      </c>
      <c r="H85" s="3" t="inlineStr">
        <is>
          <t>14:00</t>
        </is>
      </c>
      <c r="I85" s="3" t="inlineStr">
        <is>
          <t>Asia/Kolkata</t>
        </is>
      </c>
      <c r="J85" s="3" t="inlineStr">
        <is>
          <t>https://meet.google.com/rev-stu-012</t>
        </is>
      </c>
      <c r="K85" s="3" t="inlineStr">
        <is>
          <t>Pending</t>
        </is>
      </c>
      <c r="L85" s="3" t="inlineStr">
        <is>
          <t>Scheduled</t>
        </is>
      </c>
      <c r="M85" s="3" t="inlineStr">
        <is>
          <t>Nadia Al-Mansoor</t>
        </is>
      </c>
      <c r="N85" s="3" t="inlineStr">
        <is>
          <t>Pending</t>
        </is>
      </c>
      <c r="O85" s="3" t="inlineStr">
        <is>
          <t>2026-11-12</t>
        </is>
      </c>
    </row>
    <row r="86">
      <c r="A86" s="2" t="inlineStr">
        <is>
          <t>REV-STU-013-3</t>
        </is>
      </c>
      <c r="B86" s="2" t="inlineStr">
        <is>
          <t>STU-013</t>
        </is>
      </c>
      <c r="C86" s="2" t="inlineStr">
        <is>
          <t>Hassan Adams</t>
        </is>
      </c>
      <c r="D86" s="2" t="inlineStr">
        <is>
          <t>student013@example-interns.edu</t>
        </is>
      </c>
      <c r="E86" s="2" t="inlineStr">
        <is>
          <t>TASK-AIML-101</t>
        </is>
      </c>
      <c r="F86" s="2" t="n">
        <v>3</v>
      </c>
      <c r="G86" s="2" t="inlineStr">
        <is>
          <t>2026-11-05</t>
        </is>
      </c>
      <c r="H86" s="2" t="inlineStr">
        <is>
          <t>14:00</t>
        </is>
      </c>
      <c r="I86" s="2" t="inlineStr">
        <is>
          <t>Asia/Kolkata</t>
        </is>
      </c>
      <c r="J86" s="2" t="inlineStr">
        <is>
          <t>https://meet.google.com/rev-stu-013</t>
        </is>
      </c>
      <c r="K86" s="2" t="inlineStr">
        <is>
          <t>Pending</t>
        </is>
      </c>
      <c r="L86" s="2" t="inlineStr">
        <is>
          <t>Scheduled</t>
        </is>
      </c>
      <c r="M86" s="2" t="inlineStr">
        <is>
          <t>Dr. Aris Thorne</t>
        </is>
      </c>
      <c r="N86" s="2" t="inlineStr">
        <is>
          <t>Pending</t>
        </is>
      </c>
      <c r="O86" s="2" t="inlineStr">
        <is>
          <t>2026-11-12</t>
        </is>
      </c>
    </row>
    <row r="87">
      <c r="A87" s="3" t="inlineStr">
        <is>
          <t>REV-STU-014-3</t>
        </is>
      </c>
      <c r="B87" s="3" t="inlineStr">
        <is>
          <t>STU-014</t>
        </is>
      </c>
      <c r="C87" s="3" t="inlineStr">
        <is>
          <t>Isabella Hall</t>
        </is>
      </c>
      <c r="D87" s="3" t="inlineStr">
        <is>
          <t>student014@example-interns.edu</t>
        </is>
      </c>
      <c r="E87" s="3" t="inlineStr">
        <is>
          <t>TASK-FSWD-202</t>
        </is>
      </c>
      <c r="F87" s="3" t="n">
        <v>3</v>
      </c>
      <c r="G87" s="3" t="inlineStr">
        <is>
          <t>2026-11-05</t>
        </is>
      </c>
      <c r="H87" s="3" t="inlineStr">
        <is>
          <t>14:00</t>
        </is>
      </c>
      <c r="I87" s="3" t="inlineStr">
        <is>
          <t>Asia/Kolkata</t>
        </is>
      </c>
      <c r="J87" s="3" t="inlineStr">
        <is>
          <t>https://meet.google.com/rev-stu-014</t>
        </is>
      </c>
      <c r="K87" s="3" t="inlineStr">
        <is>
          <t>Pending</t>
        </is>
      </c>
      <c r="L87" s="3" t="inlineStr">
        <is>
          <t>Scheduled</t>
        </is>
      </c>
      <c r="M87" s="3" t="inlineStr">
        <is>
          <t>Prof. Elena Rostova</t>
        </is>
      </c>
      <c r="N87" s="3" t="inlineStr">
        <is>
          <t>Pending</t>
        </is>
      </c>
      <c r="O87" s="3" t="inlineStr">
        <is>
          <t>2026-11-12</t>
        </is>
      </c>
    </row>
    <row r="88">
      <c r="A88" s="2" t="inlineStr">
        <is>
          <t>REV-STU-015-3</t>
        </is>
      </c>
      <c r="B88" s="2" t="inlineStr">
        <is>
          <t>STU-015</t>
        </is>
      </c>
      <c r="C88" s="2" t="inlineStr">
        <is>
          <t>James Mitchell</t>
        </is>
      </c>
      <c r="D88" s="2" t="inlineStr">
        <is>
          <t>student015@example-interns.edu</t>
        </is>
      </c>
      <c r="E88" s="2" t="inlineStr">
        <is>
          <t>TASK-DATA-301</t>
        </is>
      </c>
      <c r="F88" s="2" t="n">
        <v>3</v>
      </c>
      <c r="G88" s="2" t="inlineStr">
        <is>
          <t>2026-11-05</t>
        </is>
      </c>
      <c r="H88" s="2" t="inlineStr">
        <is>
          <t>14:00</t>
        </is>
      </c>
      <c r="I88" s="2" t="inlineStr">
        <is>
          <t>Asia/Kolkata</t>
        </is>
      </c>
      <c r="J88" s="2" t="inlineStr">
        <is>
          <t>https://meet.google.com/rev-stu-015</t>
        </is>
      </c>
      <c r="K88" s="2" t="inlineStr">
        <is>
          <t>Pending</t>
        </is>
      </c>
      <c r="L88" s="2" t="inlineStr">
        <is>
          <t>Scheduled</t>
        </is>
      </c>
      <c r="M88" s="2" t="inlineStr">
        <is>
          <t>Sarah Jenkins</t>
        </is>
      </c>
      <c r="N88" s="2" t="inlineStr">
        <is>
          <t>Pending</t>
        </is>
      </c>
      <c r="O88" s="2" t="inlineStr">
        <is>
          <t>2026-11-12</t>
        </is>
      </c>
    </row>
    <row r="89">
      <c r="A89" s="3" t="inlineStr">
        <is>
          <t>REV-STU-016-3</t>
        </is>
      </c>
      <c r="B89" s="3" t="inlineStr">
        <is>
          <t>STU-016</t>
        </is>
      </c>
      <c r="C89" s="3" t="inlineStr">
        <is>
          <t>Jia Smith</t>
        </is>
      </c>
      <c r="D89" s="3" t="inlineStr">
        <is>
          <t>student016@example-interns.edu</t>
        </is>
      </c>
      <c r="E89" s="3" t="inlineStr">
        <is>
          <t>TASK-DEVO-402</t>
        </is>
      </c>
      <c r="F89" s="3" t="n">
        <v>3</v>
      </c>
      <c r="G89" s="3" t="inlineStr">
        <is>
          <t>2026-11-05</t>
        </is>
      </c>
      <c r="H89" s="3" t="inlineStr">
        <is>
          <t>14:00</t>
        </is>
      </c>
      <c r="I89" s="3" t="inlineStr">
        <is>
          <t>Asia/Kolkata</t>
        </is>
      </c>
      <c r="J89" s="3" t="inlineStr">
        <is>
          <t>https://meet.google.com/rev-stu-016</t>
        </is>
      </c>
      <c r="K89" s="3" t="inlineStr">
        <is>
          <t>Pending</t>
        </is>
      </c>
      <c r="L89" s="3" t="inlineStr">
        <is>
          <t>Scheduled</t>
        </is>
      </c>
      <c r="M89" s="3" t="inlineStr">
        <is>
          <t>Rajiv Mehta</t>
        </is>
      </c>
      <c r="N89" s="3" t="inlineStr">
        <is>
          <t>Pending</t>
        </is>
      </c>
      <c r="O89" s="3" t="inlineStr">
        <is>
          <t>2026-11-12</t>
        </is>
      </c>
    </row>
    <row r="90">
      <c r="A90" s="2" t="inlineStr">
        <is>
          <t>REV-STU-017-3</t>
        </is>
      </c>
      <c r="B90" s="2" t="inlineStr">
        <is>
          <t>STU-017</t>
        </is>
      </c>
      <c r="C90" s="2" t="inlineStr">
        <is>
          <t>Kavya Brown</t>
        </is>
      </c>
      <c r="D90" s="2" t="inlineStr">
        <is>
          <t>student017@example-interns.edu</t>
        </is>
      </c>
      <c r="E90" s="2" t="inlineStr">
        <is>
          <t>TASK-MOBL-501</t>
        </is>
      </c>
      <c r="F90" s="2" t="n">
        <v>3</v>
      </c>
      <c r="G90" s="2" t="inlineStr">
        <is>
          <t>2026-11-05</t>
        </is>
      </c>
      <c r="H90" s="2" t="inlineStr">
        <is>
          <t>14:00</t>
        </is>
      </c>
      <c r="I90" s="2" t="inlineStr">
        <is>
          <t>Asia/Kolkata</t>
        </is>
      </c>
      <c r="J90" s="2" t="inlineStr">
        <is>
          <t>https://meet.google.com/rev-stu-017</t>
        </is>
      </c>
      <c r="K90" s="2" t="inlineStr">
        <is>
          <t>Pending</t>
        </is>
      </c>
      <c r="L90" s="2" t="inlineStr">
        <is>
          <t>Scheduled</t>
        </is>
      </c>
      <c r="M90" s="2" t="inlineStr">
        <is>
          <t>Marcus Chen</t>
        </is>
      </c>
      <c r="N90" s="2" t="inlineStr">
        <is>
          <t>Pending</t>
        </is>
      </c>
      <c r="O90" s="2" t="inlineStr">
        <is>
          <t>2026-11-12</t>
        </is>
      </c>
    </row>
    <row r="91">
      <c r="A91" s="3" t="inlineStr">
        <is>
          <t>REV-STU-018-3</t>
        </is>
      </c>
      <c r="B91" s="3" t="inlineStr">
        <is>
          <t>STU-018</t>
        </is>
      </c>
      <c r="C91" s="3" t="inlineStr">
        <is>
          <t>Liam Miller</t>
        </is>
      </c>
      <c r="D91" s="3" t="inlineStr">
        <is>
          <t>student018@example-interns.edu</t>
        </is>
      </c>
      <c r="E91" s="3" t="inlineStr">
        <is>
          <t>TASK-CYBR-602</t>
        </is>
      </c>
      <c r="F91" s="3" t="n">
        <v>3</v>
      </c>
      <c r="G91" s="3" t="inlineStr">
        <is>
          <t>2026-11-05</t>
        </is>
      </c>
      <c r="H91" s="3" t="inlineStr">
        <is>
          <t>14:00</t>
        </is>
      </c>
      <c r="I91" s="3" t="inlineStr">
        <is>
          <t>Asia/Kolkata</t>
        </is>
      </c>
      <c r="J91" s="3" t="inlineStr">
        <is>
          <t>https://meet.google.com/rev-stu-018</t>
        </is>
      </c>
      <c r="K91" s="3" t="inlineStr">
        <is>
          <t>Pending</t>
        </is>
      </c>
      <c r="L91" s="3" t="inlineStr">
        <is>
          <t>Scheduled</t>
        </is>
      </c>
      <c r="M91" s="3" t="inlineStr">
        <is>
          <t>Nadia Al-Mansoor</t>
        </is>
      </c>
      <c r="N91" s="3" t="inlineStr">
        <is>
          <t>Pending</t>
        </is>
      </c>
      <c r="O91" s="3" t="inlineStr">
        <is>
          <t>2026-11-12</t>
        </is>
      </c>
    </row>
    <row r="92">
      <c r="A92" s="2" t="inlineStr">
        <is>
          <t>REV-STU-019-3</t>
        </is>
      </c>
      <c r="B92" s="2" t="inlineStr">
        <is>
          <t>STU-019</t>
        </is>
      </c>
      <c r="C92" s="2" t="inlineStr">
        <is>
          <t>Maya Martinez</t>
        </is>
      </c>
      <c r="D92" s="2" t="inlineStr">
        <is>
          <t>student019@example-interns.edu</t>
        </is>
      </c>
      <c r="E92" s="2" t="inlineStr">
        <is>
          <t>TASK-AIML-101</t>
        </is>
      </c>
      <c r="F92" s="2" t="n">
        <v>3</v>
      </c>
      <c r="G92" s="2" t="inlineStr">
        <is>
          <t>2026-11-05</t>
        </is>
      </c>
      <c r="H92" s="2" t="inlineStr">
        <is>
          <t>14:00</t>
        </is>
      </c>
      <c r="I92" s="2" t="inlineStr">
        <is>
          <t>Asia/Kolkata</t>
        </is>
      </c>
      <c r="J92" s="2" t="inlineStr">
        <is>
          <t>https://meet.google.com/rev-stu-019</t>
        </is>
      </c>
      <c r="K92" s="2" t="inlineStr">
        <is>
          <t>Pending</t>
        </is>
      </c>
      <c r="L92" s="2" t="inlineStr">
        <is>
          <t>Scheduled</t>
        </is>
      </c>
      <c r="M92" s="2" t="inlineStr">
        <is>
          <t>Dr. Aris Thorne</t>
        </is>
      </c>
      <c r="N92" s="2" t="inlineStr">
        <is>
          <t>Pending</t>
        </is>
      </c>
      <c r="O92" s="2" t="inlineStr">
        <is>
          <t>2026-11-12</t>
        </is>
      </c>
    </row>
    <row r="93">
      <c r="A93" s="3" t="inlineStr">
        <is>
          <t>REV-STU-020-3</t>
        </is>
      </c>
      <c r="B93" s="3" t="inlineStr">
        <is>
          <t>STU-020</t>
        </is>
      </c>
      <c r="C93" s="3" t="inlineStr">
        <is>
          <t>Noah Gonzalez</t>
        </is>
      </c>
      <c r="D93" s="3" t="inlineStr">
        <is>
          <t>student020@example-interns.edu</t>
        </is>
      </c>
      <c r="E93" s="3" t="inlineStr">
        <is>
          <t>TASK-FSWD-202</t>
        </is>
      </c>
      <c r="F93" s="3" t="n">
        <v>3</v>
      </c>
      <c r="G93" s="3" t="inlineStr">
        <is>
          <t>2026-11-05</t>
        </is>
      </c>
      <c r="H93" s="3" t="inlineStr">
        <is>
          <t>14:00</t>
        </is>
      </c>
      <c r="I93" s="3" t="inlineStr">
        <is>
          <t>Asia/Kolkata</t>
        </is>
      </c>
      <c r="J93" s="3" t="inlineStr">
        <is>
          <t>https://meet.google.com/rev-stu-020</t>
        </is>
      </c>
      <c r="K93" s="3" t="inlineStr">
        <is>
          <t>Pending</t>
        </is>
      </c>
      <c r="L93" s="3" t="inlineStr">
        <is>
          <t>Scheduled</t>
        </is>
      </c>
      <c r="M93" s="3" t="inlineStr">
        <is>
          <t>Prof. Elena Rostova</t>
        </is>
      </c>
      <c r="N93" s="3" t="inlineStr">
        <is>
          <t>Pending</t>
        </is>
      </c>
      <c r="O93" s="3" t="inlineStr">
        <is>
          <t>2026-11-12</t>
        </is>
      </c>
    </row>
  </sheetData>
  <dataValidations count="1">
    <dataValidation sqref="L2:L500" showDropDown="0" showInputMessage="0" showErrorMessage="0" allowBlank="1" type="list">
      <formula1>"Scheduled,Reminder Sent,Submission Received,AI Evaluated,Awaiting Approval,Approved,Completed,Missed,Rescheduled"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3"/>
  <sheetViews>
    <sheetView workbookViewId="0">
      <pane ySplit="1" topLeftCell="A2" activePane="bottomLeft" state="frozen"/>
      <selection pane="bottomLeft" activeCell="A1" sqref="A1"/>
    </sheetView>
  </sheetViews>
  <sheetFormatPr baseColWidth="8" defaultRowHeight="15"/>
  <cols>
    <col width="15" customWidth="1" min="1" max="1"/>
    <col width="16" customWidth="1" min="2" max="2"/>
    <col width="16" customWidth="1" min="3" max="3"/>
    <col width="40" customWidth="1" min="4" max="4"/>
    <col width="40" customWidth="1" min="5" max="5"/>
    <col width="40" customWidth="1" min="6" max="6"/>
    <col width="40" customWidth="1" min="7" max="7"/>
    <col width="40" customWidth="1" min="8" max="8"/>
    <col width="40" customWidth="1" min="9" max="9"/>
    <col width="40" customWidth="1" min="10" max="10"/>
    <col width="12" customWidth="1" min="11" max="11"/>
    <col width="28" customWidth="1" min="12" max="12"/>
    <col width="40" customWidth="1" min="13" max="13"/>
  </cols>
  <sheetData>
    <row r="1" ht="26" customHeight="1">
      <c r="A1" s="1" t="inlineStr">
        <is>
          <t>Student ID</t>
        </is>
      </c>
      <c r="B1" s="1" t="inlineStr">
        <is>
          <t>Task ID</t>
        </is>
      </c>
      <c r="C1" s="1" t="inlineStr">
        <is>
          <t>Review Number</t>
        </is>
      </c>
      <c r="D1" s="1" t="inlineStr">
        <is>
          <t>Submission Summary</t>
        </is>
      </c>
      <c r="E1" s="1" t="inlineStr">
        <is>
          <t>Evaluation Criteria</t>
        </is>
      </c>
      <c r="F1" s="1" t="inlineStr">
        <is>
          <t>Identified Mistakes</t>
        </is>
      </c>
      <c r="G1" s="1" t="inlineStr">
        <is>
          <t>Missing Requirements</t>
        </is>
      </c>
      <c r="H1" s="1" t="inlineStr">
        <is>
          <t>Strengths</t>
        </is>
      </c>
      <c r="I1" s="1" t="inlineStr">
        <is>
          <t>Improvement Suggestions</t>
        </is>
      </c>
      <c r="J1" s="1" t="inlineStr">
        <is>
          <t>AI-Generated Feedback</t>
        </is>
      </c>
      <c r="K1" s="1" t="inlineStr">
        <is>
          <t>Score</t>
        </is>
      </c>
      <c r="L1" s="1" t="inlineStr">
        <is>
          <t>Reviewer Approval Status</t>
        </is>
      </c>
      <c r="M1" s="1" t="inlineStr">
        <is>
          <t>Next Actions</t>
        </is>
      </c>
    </row>
    <row r="2">
      <c r="A2" s="2" t="inlineStr">
        <is>
          <t>STU-E2E-TEST</t>
        </is>
      </c>
      <c r="B2" s="2" t="inlineStr">
        <is>
          <t>TASK-AIML-102</t>
        </is>
      </c>
      <c r="C2" s="2" t="n">
        <v>3</v>
      </c>
      <c r="D2" s="2" t="inlineStr">
        <is>
          <t>Automated audit of 24 lines submitted for RAG Knowledge Base Assistant using LangChain &amp; FAISS.</t>
        </is>
      </c>
      <c r="E2" s="2" t="inlineStr">
        <is>
          <t>Chunking strategy (20 pts), Retrieval precision (30 pts), Hallucination guardrails (25 pts), UI polish &amp; code quality (25 pts).</t>
        </is>
      </c>
      <c r="F2" s="2" t="inlineStr">
        <is>
          <t>No critical bugs identified in current audit.</t>
        </is>
      </c>
      <c r="G2" s="2" t="inlineStr">
        <is>
          <t>All mandatory deliverable files present.</t>
        </is>
      </c>
      <c r="H2" s="2" t="inlineStr">
        <is>
          <t>Substantial code structure with sufficient logic implementation. Includes structured exception handling and error capture blocks. Employs modern modular interfaces, schemas, or function definitions. Demonstrates validation logic, metrics, or test coverage verification.</t>
        </is>
      </c>
      <c r="I2" s="2" t="inlineStr">
        <is>
          <t>Continue adhering to clean architecture standards.</t>
        </is>
      </c>
      <c r="J2" s="2" t="inlineStr">
        <is>
          <t>AI Score: 90/100. Evaluation based on rubric 'Chunking strategy (20 pts), Retrieval precision (30 pts), Hallucination guardrails (25 pts), UI polish &amp; code quality (25 pts).': Structure (+25), Exception Handling (+20), Modularity (+25), Testing (+20). Total: 90/100.</t>
        </is>
      </c>
      <c r="K2" s="2" t="n">
        <v>92</v>
      </c>
      <c r="L2" s="2" t="inlineStr">
        <is>
          <t>Approved</t>
        </is>
      </c>
      <c r="M2" s="2" t="inlineStr">
        <is>
          <t>Incorporate recommended corrections, execute local test suite, and prepare demonstration for mentor.</t>
        </is>
      </c>
    </row>
    <row r="3">
      <c r="A3" s="3" t="inlineStr">
        <is>
          <t>STU-E2E-TEST</t>
        </is>
      </c>
      <c r="B3" s="3" t="inlineStr">
        <is>
          <t>TASK-AIML-102</t>
        </is>
      </c>
      <c r="C3" s="3" t="n">
        <v>2</v>
      </c>
      <c r="D3" s="3" t="inlineStr">
        <is>
          <t>Automated audit of 3 lines submitted for RAG Knowledge Base Assistant using LangChain &amp; FAISS.</t>
        </is>
      </c>
      <c r="E3" s="3" t="inlineStr">
        <is>
          <t>Chunking strategy (20 pts), Retrieval precision (30 pts), Hallucination guardrails (25 pts), UI polish &amp; code quality (25 pts).</t>
        </is>
      </c>
      <c r="F3" s="3" t="inlineStr">
        <is>
          <t>Minimal code provided; lacks depth of implementation. No try/except exception handling detected; application may crash under unhandled inputs.</t>
        </is>
      </c>
      <c r="G3" s="3" t="inlineStr">
        <is>
          <t>Expected modular functions, data models, or service endpoints. Automated test suite (pytest/unittest) or empirical validation metrics missing.</t>
        </is>
      </c>
      <c r="H3" s="3" t="inlineStr">
        <is>
          <t>Core codebase uploaded for review.</t>
        </is>
      </c>
      <c r="I3" s="3" t="inlineStr">
        <is>
          <t>Wrap external I/O, network calls, and database operations in defensive try/except blocks. Refactor flat script into modular functions or classes with clean interfaces. Add unit tests with assertions validating edge cases and valid inputs.</t>
        </is>
      </c>
      <c r="J3" s="3" t="inlineStr">
        <is>
          <t>AI Score: 30/100. Evaluation based on rubric 'Chunking strategy (20 pts), Retrieval precision (30 pts), Hallucination guardrails (25 pts), UI polish &amp; code quality (25 pts).': Structure (+25), Exception Handling (+20), Modularity (+25), Testing (+20). Total: 30/100.</t>
        </is>
      </c>
      <c r="K3" s="3" t="n">
        <v>30</v>
      </c>
      <c r="L3" s="3" t="inlineStr">
        <is>
          <t>Approved</t>
        </is>
      </c>
      <c r="M3" s="3" t="inlineStr">
        <is>
          <t>Incorporate recommended corrections, execute local test suite, and prepare demonstration for mentor.</t>
        </is>
      </c>
    </row>
    <row r="4">
      <c r="A4" s="2" t="inlineStr">
        <is>
          <t>STU-040</t>
        </is>
      </c>
      <c r="B4" s="2" t="inlineStr">
        <is>
          <t>TASK-AIML-101</t>
        </is>
      </c>
      <c r="C4" s="2" t="n">
        <v>2</v>
      </c>
      <c r="D4" s="2" t="inlineStr">
        <is>
          <t>Automated audit of 13 lines submitted for Customer Churn Prediction Pipeline with Scikit-Learn &amp; FastAPI.</t>
        </is>
      </c>
      <c r="E4" s="2" t="inlineStr">
        <is>
          <t>Data preprocessing (20 pts), Model tuning &amp; ROC-AUC &gt; 0.82 (30 pts), API design &amp; error handling (25 pts), Documentation &amp; Docker setup (25 pts).</t>
        </is>
      </c>
      <c r="F4" s="2" t="inlineStr">
        <is>
          <t>No critical bugs identified in current audit.</t>
        </is>
      </c>
      <c r="G4" s="2" t="inlineStr">
        <is>
          <t>All mandatory deliverable files present.</t>
        </is>
      </c>
      <c r="H4" s="2" t="inlineStr">
        <is>
          <t>Initial code logic present, though relatively lightweight. Includes structured exception handling and error capture blocks. Employs modern modular interfaces, schemas, or function definitions. Demonstrates validation logic, metrics, or test coverage verification.</t>
        </is>
      </c>
      <c r="I4" s="2" t="inlineStr">
        <is>
          <t>Continue adhering to clean architecture standards.</t>
        </is>
      </c>
      <c r="J4" s="2" t="inlineStr">
        <is>
          <t>AI Score: 80/100. Evaluation based on rubric 'Data preprocessing (20 pts), Model tuning &amp; ROC-AUC &gt; 0.82 (30 pts), API design &amp; error handling (25 pts), Documentation &amp; Docker setup (25 pts).': Structure (+25), Exception Handling (+20), Modularity (+25), Testing (+20). Total: 80/100.</t>
        </is>
      </c>
      <c r="K4" s="2" t="n">
        <v>80</v>
      </c>
      <c r="L4" s="2" t="inlineStr">
        <is>
          <t>Pending Reviewer Approval</t>
        </is>
      </c>
      <c r="M4" s="2" t="inlineStr">
        <is>
          <t>Incorporate recommended corrections, execute local test suite, and prepare demonstration for mentor.</t>
        </is>
      </c>
    </row>
    <row r="5">
      <c r="A5" s="3" t="inlineStr">
        <is>
          <t>STU-040</t>
        </is>
      </c>
      <c r="B5" s="3" t="inlineStr">
        <is>
          <t>TASK-AIML-101</t>
        </is>
      </c>
      <c r="C5" s="3" t="n">
        <v>2</v>
      </c>
      <c r="D5" s="3" t="inlineStr">
        <is>
          <t>Automated audit of 13 lines submitted for Customer Churn Prediction Pipeline with Scikit-Learn &amp; FastAPI.</t>
        </is>
      </c>
      <c r="E5" s="3" t="inlineStr">
        <is>
          <t>Data preprocessing (20 pts), Model tuning &amp; ROC-AUC &gt; 0.82 (30 pts), API design &amp; error handling (25 pts), Documentation &amp; Docker setup (25 pts).</t>
        </is>
      </c>
      <c r="F5" s="3" t="inlineStr">
        <is>
          <t>No critical bugs identified in current audit.</t>
        </is>
      </c>
      <c r="G5" s="3" t="inlineStr">
        <is>
          <t>All mandatory deliverable files present.</t>
        </is>
      </c>
      <c r="H5" s="3" t="inlineStr">
        <is>
          <t>Initial code logic present, though relatively lightweight. Includes structured exception handling and error capture blocks. Employs modern modular interfaces, schemas, or function definitions. Demonstrates validation logic, metrics, or test coverage verification.</t>
        </is>
      </c>
      <c r="I5" s="3" t="inlineStr">
        <is>
          <t>Continue adhering to clean architecture standards.</t>
        </is>
      </c>
      <c r="J5" s="3" t="inlineStr">
        <is>
          <t>AI Score: 80/100. Evaluation based on rubric 'Data preprocessing (20 pts), Model tuning &amp; ROC-AUC &gt; 0.82 (30 pts), API design &amp; error handling (25 pts), Documentation &amp; Docker setup (25 pts).': Structure (+25), Exception Handling (+20), Modularity (+25), Testing (+20). Total: 80/100.</t>
        </is>
      </c>
      <c r="K5" s="3" t="n">
        <v>80</v>
      </c>
      <c r="L5" s="3" t="inlineStr">
        <is>
          <t>Pending Reviewer Approval</t>
        </is>
      </c>
      <c r="M5" s="3" t="inlineStr">
        <is>
          <t>Incorporate recommended corrections, execute local test suite, and prepare demonstration for mentor.</t>
        </is>
      </c>
    </row>
    <row r="6">
      <c r="A6" s="2" t="inlineStr">
        <is>
          <t>STU-040</t>
        </is>
      </c>
      <c r="B6" s="2" t="inlineStr">
        <is>
          <t>TASK-AIML-101</t>
        </is>
      </c>
      <c r="C6" s="2" t="n">
        <v>2</v>
      </c>
      <c r="D6" s="2" t="inlineStr">
        <is>
          <t>Automated audit of 13 lines submitted for Customer Churn Prediction Pipeline with Scikit-Learn &amp; FastAPI.</t>
        </is>
      </c>
      <c r="E6" s="2" t="inlineStr">
        <is>
          <t>Data preprocessing (20 pts), Model tuning &amp; ROC-AUC &gt; 0.82 (30 pts), API design &amp; error handling (25 pts), Documentation &amp; Docker setup (25 pts).</t>
        </is>
      </c>
      <c r="F6" s="2" t="inlineStr">
        <is>
          <t>No critical bugs identified in current audit.</t>
        </is>
      </c>
      <c r="G6" s="2" t="inlineStr">
        <is>
          <t>All mandatory deliverable files present.</t>
        </is>
      </c>
      <c r="H6" s="2" t="inlineStr">
        <is>
          <t>Initial code logic present, though relatively lightweight. Includes structured exception handling and error capture blocks. Employs modern modular interfaces, schemas, or function definitions. Demonstrates validation logic, metrics, or test coverage verification.</t>
        </is>
      </c>
      <c r="I6" s="2" t="inlineStr">
        <is>
          <t>Continue adhering to clean architecture standards.</t>
        </is>
      </c>
      <c r="J6" s="2" t="inlineStr">
        <is>
          <t>AI Score: 80/100. Evaluation based on rubric 'Data preprocessing (20 pts), Model tuning &amp; ROC-AUC &gt; 0.82 (30 pts), API design &amp; error handling (25 pts), Documentation &amp; Docker setup (25 pts).': Structure (+25), Exception Handling (+20), Modularity (+25), Testing (+20). Total: 80/100.</t>
        </is>
      </c>
      <c r="K6" s="2" t="n">
        <v>80</v>
      </c>
      <c r="L6" s="2" t="inlineStr">
        <is>
          <t>Pending Reviewer Approval</t>
        </is>
      </c>
      <c r="M6" s="2" t="inlineStr">
        <is>
          <t>Incorporate recommended corrections, execute local test suite, and prepare demonstration for mentor.</t>
        </is>
      </c>
    </row>
    <row r="7">
      <c r="A7" s="3" t="inlineStr">
        <is>
          <t>STU-040</t>
        </is>
      </c>
      <c r="B7" s="3" t="inlineStr">
        <is>
          <t>TASK-AIML-101</t>
        </is>
      </c>
      <c r="C7" s="3" t="n">
        <v>2</v>
      </c>
      <c r="D7" s="3" t="inlineStr">
        <is>
          <t>Automated audit of 13 lines submitted for Customer Churn Prediction Pipeline with Scikit-Learn &amp; FastAPI.</t>
        </is>
      </c>
      <c r="E7" s="3" t="inlineStr">
        <is>
          <t>Data preprocessing (20 pts), Model tuning &amp; ROC-AUC &gt; 0.82 (30 pts), API design &amp; error handling (25 pts), Documentation &amp; Docker setup (25 pts).</t>
        </is>
      </c>
      <c r="F7" s="3" t="inlineStr">
        <is>
          <t>No critical bugs identified in current audit.</t>
        </is>
      </c>
      <c r="G7" s="3" t="inlineStr">
        <is>
          <t>All mandatory deliverable files present.</t>
        </is>
      </c>
      <c r="H7" s="3" t="inlineStr">
        <is>
          <t>Initial code logic present, though relatively lightweight. Includes structured exception handling and error capture blocks. Employs modern modular interfaces, schemas, or function definitions. Demonstrates validation logic, metrics, or test coverage verification.</t>
        </is>
      </c>
      <c r="I7" s="3" t="inlineStr">
        <is>
          <t>Continue adhering to clean architecture standards.</t>
        </is>
      </c>
      <c r="J7" s="3" t="inlineStr">
        <is>
          <t>AI Score: 80/100. Evaluation based on rubric 'Data preprocessing (20 pts), Model tuning &amp; ROC-AUC &gt; 0.82 (30 pts), API design &amp; error handling (25 pts), Documentation &amp; Docker setup (25 pts).': Structure (+25), Exception Handling (+20), Modularity (+25), Testing (+20). Total: 80/100.</t>
        </is>
      </c>
      <c r="K7" s="3" t="n">
        <v>80</v>
      </c>
      <c r="L7" s="3" t="inlineStr">
        <is>
          <t>Pending Reviewer Approval</t>
        </is>
      </c>
      <c r="M7" s="3" t="inlineStr">
        <is>
          <t>Incorporate recommended corrections, execute local test suite, and prepare demonstration for mentor.</t>
        </is>
      </c>
    </row>
    <row r="8">
      <c r="A8" s="2" t="inlineStr">
        <is>
          <t>STU-040</t>
        </is>
      </c>
      <c r="B8" s="2" t="inlineStr">
        <is>
          <t>TASK-AIML-101</t>
        </is>
      </c>
      <c r="C8" s="2" t="n">
        <v>2</v>
      </c>
      <c r="D8" s="2" t="inlineStr">
        <is>
          <t>Automated audit of 13 lines submitted for Customer Churn Prediction Pipeline with Scikit-Learn &amp; FastAPI.</t>
        </is>
      </c>
      <c r="E8" s="2" t="inlineStr">
        <is>
          <t>Data preprocessing (20 pts), Model tuning &amp; ROC-AUC &gt; 0.82 (30 pts), API design &amp; error handling (25 pts), Documentation &amp; Docker setup (25 pts).</t>
        </is>
      </c>
      <c r="F8" s="2" t="inlineStr">
        <is>
          <t>No critical bugs identified in current audit.</t>
        </is>
      </c>
      <c r="G8" s="2" t="inlineStr">
        <is>
          <t>All mandatory deliverable files present.</t>
        </is>
      </c>
      <c r="H8" s="2" t="inlineStr">
        <is>
          <t>Initial code logic present, though relatively lightweight. Includes structured exception handling and error capture blocks. Employs modern modular interfaces, schemas, or function definitions. Demonstrates validation logic, metrics, or test coverage verification.</t>
        </is>
      </c>
      <c r="I8" s="2" t="inlineStr">
        <is>
          <t>Continue adhering to clean architecture standards.</t>
        </is>
      </c>
      <c r="J8" s="2" t="inlineStr">
        <is>
          <t>AI Score: 80/100. Evaluation based on rubric 'Data preprocessing (20 pts), Model tuning &amp; ROC-AUC &gt; 0.82 (30 pts), API design &amp; error handling (25 pts), Documentation &amp; Docker setup (25 pts).': Structure (+25), Exception Handling (+20), Modularity (+25), Testing (+20). Total: 80/100.</t>
        </is>
      </c>
      <c r="K8" s="2" t="n">
        <v>80</v>
      </c>
      <c r="L8" s="2" t="inlineStr">
        <is>
          <t>Pending Reviewer Approval</t>
        </is>
      </c>
      <c r="M8" s="2" t="inlineStr">
        <is>
          <t>Incorporate recommended corrections, execute local test suite, and prepare demonstration for mentor.</t>
        </is>
      </c>
    </row>
    <row r="9">
      <c r="A9" s="3" t="inlineStr">
        <is>
          <t>STU-001</t>
        </is>
      </c>
      <c r="B9" s="3" t="inlineStr">
        <is>
          <t>TASK-AIML-101</t>
        </is>
      </c>
      <c r="C9" s="3" t="n">
        <v>3</v>
      </c>
      <c r="D9" s="3" t="inlineStr">
        <is>
          <t>Automated audit of 41 lines submitted for Customer Churn Prediction Pipeline with Scikit-Learn &amp; FastAPI.</t>
        </is>
      </c>
      <c r="E9" s="3" t="inlineStr">
        <is>
          <t>Data preprocessing (20 pts), Model tuning &amp; ROC-AUC &gt; 0.82 (30 pts), API design &amp; error handling (25 pts), Documentation &amp; Docker setup (25 pts).</t>
        </is>
      </c>
      <c r="F9" s="3" t="inlineStr">
        <is>
          <t>No critical bugs identified in current audit.</t>
        </is>
      </c>
      <c r="G9" s="3" t="inlineStr">
        <is>
          <t>All mandatory deliverable files present.</t>
        </is>
      </c>
      <c r="H9" s="3" t="inlineStr">
        <is>
          <t>Substantial code structure with sufficient logic implementation. Includes structured exception handling and error capture blocks. Employs modern modular interfaces, schemas, or function definitions. Demonstrates validation logic, metrics, or test coverage verification.</t>
        </is>
      </c>
      <c r="I9" s="3" t="inlineStr">
        <is>
          <t>Continue adhering to clean architecture standards.</t>
        </is>
      </c>
      <c r="J9" s="3" t="inlineStr">
        <is>
          <t>AI Score: 90/100. Evaluation based on rubric 'Data preprocessing (20 pts), Model tuning &amp; ROC-AUC &gt; 0.82 (30 pts), API design &amp; error handling (25 pts), Documentation &amp; Docker setup (25 pts).': Structure (+25), Exception Handling (+20), Modularity (+25), Testing (+20). Total: 90/100.</t>
        </is>
      </c>
      <c r="K9" s="3" t="n">
        <v>90</v>
      </c>
      <c r="L9" s="3" t="inlineStr">
        <is>
          <t>Pending Reviewer Approval</t>
        </is>
      </c>
      <c r="M9" s="3" t="inlineStr">
        <is>
          <t>Incorporate recommended corrections, execute local test suite, and prepare demonstration for mentor.</t>
        </is>
      </c>
    </row>
    <row r="10">
      <c r="A10" s="2" t="inlineStr">
        <is>
          <t>STU-035</t>
        </is>
      </c>
      <c r="B10" s="2" t="inlineStr">
        <is>
          <t>TASK-MOBL-501</t>
        </is>
      </c>
      <c r="C10" s="2" t="n">
        <v>2</v>
      </c>
      <c r="D10" s="2" t="inlineStr">
        <is>
          <t>Automated audit of 23 lines submitted for Cross-Platform Habit Tracker with Offline SQLite &amp; Push Alerts.</t>
        </is>
      </c>
      <c r="E10" s="2" t="inlineStr">
        <is>
          <t>Offline sync &amp; local persistence (30 pts), UI fluid animations &amp; responsiveness (30 pts), Notification reliability (20 pts), Clean architecture (20 pts).</t>
        </is>
      </c>
      <c r="F10" s="2" t="inlineStr">
        <is>
          <t>No try/except exception handling detected; application may crash under unhandled inputs.</t>
        </is>
      </c>
      <c r="G10" s="2" t="inlineStr">
        <is>
          <t>Automated test suite (pytest/unittest) or empirical validation metrics missing.</t>
        </is>
      </c>
      <c r="H10" s="2" t="inlineStr">
        <is>
          <t>Initial code logic present, though relatively lightweight. Employs modern modular interfaces, schemas, or function definitions.</t>
        </is>
      </c>
      <c r="I10" s="2" t="inlineStr">
        <is>
          <t>Wrap external I/O, network calls, and database operations in defensive try/except blocks. Add unit tests with assertions validating edge cases and valid inputs.</t>
        </is>
      </c>
      <c r="J10" s="2" t="inlineStr">
        <is>
          <t>AI Score: 40/100. Evaluation based on rubric 'Offline sync &amp; local persistence (30 pts), UI fluid animations &amp; responsiveness (30 pts), Notification reliability (20 pts), Clean architecture (20 pts).': Structure (+25), Exception Handling (+20), Modularity (+25), Testing (+20). Total: 40/100.</t>
        </is>
      </c>
      <c r="K10" s="2" t="n">
        <v>40</v>
      </c>
      <c r="L10" s="2" t="inlineStr">
        <is>
          <t>Pending Reviewer Approval</t>
        </is>
      </c>
      <c r="M10" s="2" t="inlineStr">
        <is>
          <t>Incorporate recommended corrections, execute local test suite, and prepare demonstration for mentor.</t>
        </is>
      </c>
    </row>
    <row r="11">
      <c r="A11" s="3" t="inlineStr">
        <is>
          <t>STU-040</t>
        </is>
      </c>
      <c r="B11" s="3" t="inlineStr">
        <is>
          <t>TASK-AIML-101</t>
        </is>
      </c>
      <c r="C11" s="3" t="n">
        <v>2</v>
      </c>
      <c r="D11" s="3" t="inlineStr">
        <is>
          <t>Automated audit of 13 lines submitted for Customer Churn Prediction Pipeline with Scikit-Learn &amp; FastAPI.</t>
        </is>
      </c>
      <c r="E11" s="3" t="inlineStr">
        <is>
          <t>Data preprocessing (20 pts), Model tuning &amp; ROC-AUC &gt; 0.82 (30 pts), API design &amp; error handling (25 pts), Documentation &amp; Docker setup (25 pts).</t>
        </is>
      </c>
      <c r="F11" s="3" t="inlineStr">
        <is>
          <t>No critical bugs identified in current audit.</t>
        </is>
      </c>
      <c r="G11" s="3" t="inlineStr">
        <is>
          <t>All mandatory deliverable files present.</t>
        </is>
      </c>
      <c r="H11" s="3" t="inlineStr">
        <is>
          <t>Initial code logic present, though relatively lightweight. Includes structured exception handling and error capture blocks. Employs modern modular interfaces, schemas, or function definitions. Demonstrates validation logic, metrics, or test coverage verification.</t>
        </is>
      </c>
      <c r="I11" s="3" t="inlineStr">
        <is>
          <t>Continue adhering to clean architecture standards.</t>
        </is>
      </c>
      <c r="J11" s="3" t="inlineStr">
        <is>
          <t>AI Score: 80/100. Evaluation based on rubric 'Data preprocessing (20 pts), Model tuning &amp; ROC-AUC &gt; 0.82 (30 pts), API design &amp; error handling (25 pts), Documentation &amp; Docker setup (25 pts).': Structure (+25), Exception Handling (+20), Modularity (+25), Testing (+20). Total: 80/100.</t>
        </is>
      </c>
      <c r="K11" s="3" t="n">
        <v>80</v>
      </c>
      <c r="L11" s="3" t="inlineStr">
        <is>
          <t>Pending Reviewer Approval</t>
        </is>
      </c>
      <c r="M11" s="3" t="inlineStr">
        <is>
          <t>Incorporate recommended corrections, execute local test suite, and prepare demonstration for mentor.</t>
        </is>
      </c>
    </row>
    <row r="12">
      <c r="A12" s="2" t="inlineStr">
        <is>
          <t>STU-040</t>
        </is>
      </c>
      <c r="B12" s="2" t="inlineStr">
        <is>
          <t>TASK-AIML-101</t>
        </is>
      </c>
      <c r="C12" s="2" t="n">
        <v>2</v>
      </c>
      <c r="D12" s="2" t="inlineStr">
        <is>
          <t>Automated audit of 13 lines submitted for Customer Churn Prediction Pipeline with Scikit-Learn &amp; FastAPI.</t>
        </is>
      </c>
      <c r="E12" s="2" t="inlineStr">
        <is>
          <t>Data preprocessing (20 pts), Model tuning &amp; ROC-AUC &gt; 0.82 (30 pts), API design &amp; error handling (25 pts), Documentation &amp; Docker setup (25 pts).</t>
        </is>
      </c>
      <c r="F12" s="2" t="inlineStr">
        <is>
          <t>No critical bugs identified in current audit.</t>
        </is>
      </c>
      <c r="G12" s="2" t="inlineStr">
        <is>
          <t>All mandatory deliverable files present.</t>
        </is>
      </c>
      <c r="H12" s="2" t="inlineStr">
        <is>
          <t>Initial code logic present, though relatively lightweight. Includes structured exception handling and error capture blocks. Employs modern modular interfaces, schemas, or function definitions. Demonstrates validation logic, metrics, or test coverage verification.</t>
        </is>
      </c>
      <c r="I12" s="2" t="inlineStr">
        <is>
          <t>Continue adhering to clean architecture standards.</t>
        </is>
      </c>
      <c r="J12" s="2" t="inlineStr">
        <is>
          <t>AI Score: 80/100. Evaluation based on rubric 'Data preprocessing (20 pts), Model tuning &amp; ROC-AUC &gt; 0.82 (30 pts), API design &amp; error handling (25 pts), Documentation &amp; Docker setup (25 pts).': Structure (+25), Exception Handling (+20), Modularity (+25), Testing (+20). Total: 80/100.</t>
        </is>
      </c>
      <c r="K12" s="2" t="n">
        <v>80</v>
      </c>
      <c r="L12" s="2" t="inlineStr">
        <is>
          <t>Pending Reviewer Approval</t>
        </is>
      </c>
      <c r="M12" s="2" t="inlineStr">
        <is>
          <t>Incorporate recommended corrections, execute local test suite, and prepare demonstration for mentor.</t>
        </is>
      </c>
    </row>
    <row r="13">
      <c r="A13" s="3" t="inlineStr">
        <is>
          <t>STU-040</t>
        </is>
      </c>
      <c r="B13" s="3" t="inlineStr">
        <is>
          <t>TASK-AIML-101</t>
        </is>
      </c>
      <c r="C13" s="3" t="n">
        <v>2</v>
      </c>
      <c r="D13" s="3" t="inlineStr">
        <is>
          <t>Automated audit of 13 lines submitted for Customer Churn Prediction Pipeline with Scikit-Learn &amp; FastAPI.</t>
        </is>
      </c>
      <c r="E13" s="3" t="inlineStr">
        <is>
          <t>Data preprocessing (20 pts), Model tuning &amp; ROC-AUC &gt; 0.82 (30 pts), API design &amp; error handling (25 pts), Documentation &amp; Docker setup (25 pts).</t>
        </is>
      </c>
      <c r="F13" s="3" t="inlineStr">
        <is>
          <t>No critical bugs identified in current audit.</t>
        </is>
      </c>
      <c r="G13" s="3" t="inlineStr">
        <is>
          <t>All mandatory deliverable files present.</t>
        </is>
      </c>
      <c r="H13" s="3" t="inlineStr">
        <is>
          <t>Initial code logic present, though relatively lightweight. Includes structured exception handling and error capture blocks. Employs modern modular interfaces, schemas, or function definitions. Demonstrates validation logic, metrics, or test coverage verification.</t>
        </is>
      </c>
      <c r="I13" s="3" t="inlineStr">
        <is>
          <t>Continue adhering to clean architecture standards.</t>
        </is>
      </c>
      <c r="J13" s="3" t="inlineStr">
        <is>
          <t>AI Score: 80/100. Evaluation based on rubric 'Data preprocessing (20 pts), Model tuning &amp; ROC-AUC &gt; 0.82 (30 pts), API design &amp; error handling (25 pts), Documentation &amp; Docker setup (25 pts).': Structure (+25), Exception Handling (+20), Modularity (+25), Testing (+20). Total: 80/100.</t>
        </is>
      </c>
      <c r="K13" s="3" t="n">
        <v>80</v>
      </c>
      <c r="L13" s="3" t="inlineStr">
        <is>
          <t>Pending Reviewer Approval</t>
        </is>
      </c>
      <c r="M13" s="3" t="inlineStr">
        <is>
          <t>Incorporate recommended corrections, execute local test suite, and prepare demonstration for mentor.</t>
        </is>
      </c>
    </row>
    <row r="14">
      <c r="A14" s="2" t="inlineStr">
        <is>
          <t>STU-060</t>
        </is>
      </c>
      <c r="B14" s="2" t="inlineStr">
        <is>
          <t>TASK-CYBR-602</t>
        </is>
      </c>
      <c r="C14" s="2" t="n">
        <v>1</v>
      </c>
      <c r="D14" s="2" t="inlineStr">
        <is>
          <t>Completed initial implementation for SOC Intrusion Detection &amp; SIEM Log Correlation Engine.</t>
        </is>
      </c>
      <c r="E14" s="2" t="inlineStr">
        <is>
          <t>Rule precision &amp; detection logic (35 pts), Parser throughput &amp; scalability (25 pts), Triage workflow integration (25 pts), Test dataset &amp; coverage (15 pts).</t>
        </is>
      </c>
      <c r="F14" s="2" t="inlineStr">
        <is>
          <t>Missing input validation, hardcoded connection strings, and zero test coverage.</t>
        </is>
      </c>
      <c r="G14" s="2" t="inlineStr">
        <is>
          <t>Required Dockerfile and automated integration tests were not found.</t>
        </is>
      </c>
      <c r="H14" s="2" t="inlineStr">
        <is>
          <t>Modular structure, clean documentation, robust core logic implementation.</t>
        </is>
      </c>
      <c r="I14" s="2" t="inlineStr">
        <is>
          <t>Implement unit tests with Pytest, use environment variables for configs, and add Swagger API docstrings.</t>
        </is>
      </c>
      <c r="J14" s="2" t="inlineStr">
        <is>
          <t>The submission demonstrates good understanding of Cybersecurity Specialist workflows. Score: 54/100. Please address identified corrections before re-evaluation.</t>
        </is>
      </c>
      <c r="K14" s="2" t="n">
        <v>54</v>
      </c>
      <c r="L14" s="2" t="inlineStr">
        <is>
          <t>Pending Reviewer Approval</t>
        </is>
      </c>
      <c r="M14" s="2" t="inlineStr">
        <is>
          <t>Refactor error handling and re-submit for Review 2.</t>
        </is>
      </c>
    </row>
    <row r="15">
      <c r="A15" s="3" t="inlineStr">
        <is>
          <t>STU-059</t>
        </is>
      </c>
      <c r="B15" s="3" t="inlineStr">
        <is>
          <t>TASK-MOBL-501</t>
        </is>
      </c>
      <c r="C15" s="3" t="n">
        <v>1</v>
      </c>
      <c r="D15" s="3" t="inlineStr">
        <is>
          <t>Completed initial implementation for Cross-Platform Habit Tracker with Offline SQLite &amp; Push Alerts.</t>
        </is>
      </c>
      <c r="E15" s="3" t="inlineStr">
        <is>
          <t>Offline sync &amp; local persistence (30 pts), UI fluid animations &amp; responsiveness (30 pts), Notification reliability (20 pts), Clean architecture (20 pts).</t>
        </is>
      </c>
      <c r="F15" s="3" t="inlineStr">
        <is>
          <t>Missing input validation, hardcoded connection strings, and zero test coverage.</t>
        </is>
      </c>
      <c r="G15" s="3" t="inlineStr">
        <is>
          <t>Required Dockerfile and automated integration tests were not found.</t>
        </is>
      </c>
      <c r="H15" s="3" t="inlineStr">
        <is>
          <t>Modular structure, clean documentation, robust core logic implementation.</t>
        </is>
      </c>
      <c r="I15" s="3" t="inlineStr">
        <is>
          <t>Implement unit tests with Pytest, use environment variables for configs, and add Swagger API docstrings.</t>
        </is>
      </c>
      <c r="J15" s="3" t="inlineStr">
        <is>
          <t>The submission demonstrates good understanding of Mobile App Developer workflows. Score: 54/100. Please address identified corrections before re-evaluation.</t>
        </is>
      </c>
      <c r="K15" s="3" t="n">
        <v>54</v>
      </c>
      <c r="L15" s="3" t="inlineStr">
        <is>
          <t>Pending Reviewer Approval</t>
        </is>
      </c>
      <c r="M15" s="3" t="inlineStr">
        <is>
          <t>Refactor error handling and re-submit for Review 2.</t>
        </is>
      </c>
    </row>
    <row r="16">
      <c r="A16" s="2" t="inlineStr">
        <is>
          <t>STU-058</t>
        </is>
      </c>
      <c r="B16" s="2" t="inlineStr">
        <is>
          <t>TASK-DEVO-402</t>
        </is>
      </c>
      <c r="C16" s="2" t="n">
        <v>1</v>
      </c>
      <c r="D16" s="2" t="inlineStr">
        <is>
          <t>Completed initial implementation for Kubernetes Microservices Observability with Prometheus &amp; Grafana.</t>
        </is>
      </c>
      <c r="E16" s="2" t="inlineStr">
        <is>
          <t>K8s manifest hygiene (25 pts), Observability coverage (Golden signals) (35 pts), Alerting precision (20 pts), Chaos testing validation (20 pts).</t>
        </is>
      </c>
      <c r="F16" s="2" t="inlineStr">
        <is>
          <t>Missing input validation, hardcoded connection strings, and zero test coverage.</t>
        </is>
      </c>
      <c r="G16" s="2" t="inlineStr">
        <is>
          <t>Required Dockerfile and automated integration tests were not found.</t>
        </is>
      </c>
      <c r="H16" s="2" t="inlineStr">
        <is>
          <t>Modular structure, clean documentation, robust core logic implementation.</t>
        </is>
      </c>
      <c r="I16" s="2" t="inlineStr">
        <is>
          <t>Implement unit tests with Pytest, use environment variables for configs, and add Swagger API docstrings.</t>
        </is>
      </c>
      <c r="J16" s="2" t="inlineStr">
        <is>
          <t>The submission demonstrates good understanding of Cloud &amp; DevOps Engineer workflows. Score: 54/100. Please address identified corrections before re-evaluation.</t>
        </is>
      </c>
      <c r="K16" s="2" t="n">
        <v>54</v>
      </c>
      <c r="L16" s="2" t="inlineStr">
        <is>
          <t>Pending Reviewer Approval</t>
        </is>
      </c>
      <c r="M16" s="2" t="inlineStr">
        <is>
          <t>Refactor error handling and re-submit for Review 2.</t>
        </is>
      </c>
    </row>
    <row r="17">
      <c r="A17" s="3" t="inlineStr">
        <is>
          <t>STU-057</t>
        </is>
      </c>
      <c r="B17" s="3" t="inlineStr">
        <is>
          <t>TASK-DATA-301</t>
        </is>
      </c>
      <c r="C17" s="3" t="n">
        <v>1</v>
      </c>
      <c r="D17" s="3" t="inlineStr">
        <is>
          <t>Completed initial implementation for Automated Multi-Source Retail Sales ETL &amp; KPI Dashboard.</t>
        </is>
      </c>
      <c r="E17" s="3" t="inlineStr">
        <is>
          <t>ETL robustness &amp; data hygiene (30 pts), Metric calculations (CLV, Cohorts) (30 pts), Visual layout &amp; interactivity (25 pts), Executive summary quality (15 pts).</t>
        </is>
      </c>
      <c r="F17" s="3" t="inlineStr">
        <is>
          <t>Missing input validation, hardcoded connection strings, and zero test coverage.</t>
        </is>
      </c>
      <c r="G17" s="3" t="inlineStr">
        <is>
          <t>Required Dockerfile and automated integration tests were not found.</t>
        </is>
      </c>
      <c r="H17" s="3" t="inlineStr">
        <is>
          <t>Modular structure, clean documentation, robust core logic implementation.</t>
        </is>
      </c>
      <c r="I17" s="3" t="inlineStr">
        <is>
          <t>Implement unit tests with Pytest, use environment variables for configs, and add Swagger API docstrings.</t>
        </is>
      </c>
      <c r="J17" s="3" t="inlineStr">
        <is>
          <t>The submission demonstrates good understanding of Data Analyst workflows. Score: 54/100. Please address identified corrections before re-evaluation.</t>
        </is>
      </c>
      <c r="K17" s="3" t="n">
        <v>54</v>
      </c>
      <c r="L17" s="3" t="inlineStr">
        <is>
          <t>Pending Reviewer Approval</t>
        </is>
      </c>
      <c r="M17" s="3" t="inlineStr">
        <is>
          <t>Refactor error handling and re-submit for Review 2.</t>
        </is>
      </c>
    </row>
    <row r="18">
      <c r="A18" s="2" t="inlineStr">
        <is>
          <t>STU-056</t>
        </is>
      </c>
      <c r="B18" s="2" t="inlineStr">
        <is>
          <t>TASK-FSWD-202</t>
        </is>
      </c>
      <c r="C18" s="2" t="n">
        <v>1</v>
      </c>
      <c r="D18" s="2" t="inlineStr">
        <is>
          <t>Completed initial implementation for Real-Time Collaboration Kanban Board with WebSockets.</t>
        </is>
      </c>
      <c r="E18" s="2" t="inlineStr">
        <is>
          <t>WebSocket efficiency &amp; reconnect logic (30 pts), Drag-and-drop state sync (30 pts), Code structure &amp; modularity (20 pts), UI responsiveness (20 pts).</t>
        </is>
      </c>
      <c r="F18" s="2" t="inlineStr">
        <is>
          <t>Missing input validation, hardcoded connection strings, and zero test coverage.</t>
        </is>
      </c>
      <c r="G18" s="2" t="inlineStr">
        <is>
          <t>Required Dockerfile and automated integration tests were not found.</t>
        </is>
      </c>
      <c r="H18" s="2" t="inlineStr">
        <is>
          <t>Modular structure, clean documentation, robust core logic implementation.</t>
        </is>
      </c>
      <c r="I18" s="2" t="inlineStr">
        <is>
          <t>Implement unit tests with Pytest, use environment variables for configs, and add Swagger API docstrings.</t>
        </is>
      </c>
      <c r="J18" s="2" t="inlineStr">
        <is>
          <t>The submission demonstrates good understanding of Full Stack Web Developer workflows. Score: 54/100. Please address identified corrections before re-evaluation.</t>
        </is>
      </c>
      <c r="K18" s="2" t="n">
        <v>54</v>
      </c>
      <c r="L18" s="2" t="inlineStr">
        <is>
          <t>Pending Reviewer Approval</t>
        </is>
      </c>
      <c r="M18" s="2" t="inlineStr">
        <is>
          <t>Refactor error handling and re-submit for Review 2.</t>
        </is>
      </c>
    </row>
    <row r="19">
      <c r="A19" s="3" t="inlineStr">
        <is>
          <t>STU-055</t>
        </is>
      </c>
      <c r="B19" s="3" t="inlineStr">
        <is>
          <t>TASK-AIML-101</t>
        </is>
      </c>
      <c r="C19" s="3" t="n">
        <v>1</v>
      </c>
      <c r="D19" s="3" t="inlineStr">
        <is>
          <t>Completed initial implementation for Customer Churn Prediction Pipeline with Scikit-Learn &amp; FastAPI.</t>
        </is>
      </c>
      <c r="E19" s="3" t="inlineStr">
        <is>
          <t>Data preprocessing (20 pts), Model tuning &amp; ROC-AUC &gt; 0.82 (30 pts), API design &amp; error handling (25 pts), Documentation &amp; Docker setup (25 pts).</t>
        </is>
      </c>
      <c r="F19" s="3" t="inlineStr">
        <is>
          <t>Missing input validation, hardcoded connection strings, and zero test coverage.</t>
        </is>
      </c>
      <c r="G19" s="3" t="inlineStr">
        <is>
          <t>Required Dockerfile and automated integration tests were not found.</t>
        </is>
      </c>
      <c r="H19" s="3" t="inlineStr">
        <is>
          <t>Modular structure, clean documentation, robust core logic implementation.</t>
        </is>
      </c>
      <c r="I19" s="3" t="inlineStr">
        <is>
          <t>Implement unit tests with Pytest, use environment variables for configs, and add Swagger API docstrings.</t>
        </is>
      </c>
      <c r="J19" s="3" t="inlineStr">
        <is>
          <t>The submission demonstrates good understanding of AI/ML Engineer workflows. Score: 54/100. Please address identified corrections before re-evaluation.</t>
        </is>
      </c>
      <c r="K19" s="3" t="n">
        <v>54</v>
      </c>
      <c r="L19" s="3" t="inlineStr">
        <is>
          <t>Pending Reviewer Approval</t>
        </is>
      </c>
      <c r="M19" s="3" t="inlineStr">
        <is>
          <t>Refactor error handling and re-submit for Review 2.</t>
        </is>
      </c>
    </row>
    <row r="20">
      <c r="A20" s="2" t="inlineStr">
        <is>
          <t>STU-054</t>
        </is>
      </c>
      <c r="B20" s="2" t="inlineStr">
        <is>
          <t>TASK-CYBR-602</t>
        </is>
      </c>
      <c r="C20" s="2" t="n">
        <v>1</v>
      </c>
      <c r="D20" s="2" t="inlineStr">
        <is>
          <t>Completed initial implementation for SOC Intrusion Detection &amp; SIEM Log Correlation Engine.</t>
        </is>
      </c>
      <c r="E20" s="2" t="inlineStr">
        <is>
          <t>Rule precision &amp; detection logic (35 pts), Parser throughput &amp; scalability (25 pts), Triage workflow integration (25 pts), Test dataset &amp; coverage (15 pts).</t>
        </is>
      </c>
      <c r="F20" s="2" t="inlineStr">
        <is>
          <t>Missing input validation, hardcoded connection strings, and zero test coverage.</t>
        </is>
      </c>
      <c r="G20" s="2" t="inlineStr">
        <is>
          <t>Required Dockerfile and automated integration tests were not found.</t>
        </is>
      </c>
      <c r="H20" s="2" t="inlineStr">
        <is>
          <t>Modular structure, clean documentation, robust core logic implementation.</t>
        </is>
      </c>
      <c r="I20" s="2" t="inlineStr">
        <is>
          <t>Implement unit tests with Pytest, use environment variables for configs, and add Swagger API docstrings.</t>
        </is>
      </c>
      <c r="J20" s="2" t="inlineStr">
        <is>
          <t>The submission demonstrates good understanding of Cybersecurity Specialist workflows. Score: 54/100. Please address identified corrections before re-evaluation.</t>
        </is>
      </c>
      <c r="K20" s="2" t="n">
        <v>54</v>
      </c>
      <c r="L20" s="2" t="inlineStr">
        <is>
          <t>Pending Reviewer Approval</t>
        </is>
      </c>
      <c r="M20" s="2" t="inlineStr">
        <is>
          <t>Refactor error handling and re-submit for Review 2.</t>
        </is>
      </c>
    </row>
    <row r="21">
      <c r="A21" s="3" t="inlineStr">
        <is>
          <t>STU-053</t>
        </is>
      </c>
      <c r="B21" s="3" t="inlineStr">
        <is>
          <t>TASK-MOBL-501</t>
        </is>
      </c>
      <c r="C21" s="3" t="n">
        <v>1</v>
      </c>
      <c r="D21" s="3" t="inlineStr">
        <is>
          <t>Completed initial implementation for Cross-Platform Habit Tracker with Offline SQLite &amp; Push Alerts.</t>
        </is>
      </c>
      <c r="E21" s="3" t="inlineStr">
        <is>
          <t>Offline sync &amp; local persistence (30 pts), UI fluid animations &amp; responsiveness (30 pts), Notification reliability (20 pts), Clean architecture (20 pts).</t>
        </is>
      </c>
      <c r="F21" s="3" t="inlineStr">
        <is>
          <t>Missing input validation, hardcoded connection strings, and zero test coverage.</t>
        </is>
      </c>
      <c r="G21" s="3" t="inlineStr">
        <is>
          <t>Required Dockerfile and automated integration tests were not found.</t>
        </is>
      </c>
      <c r="H21" s="3" t="inlineStr">
        <is>
          <t>Modular structure, clean documentation, robust core logic implementation.</t>
        </is>
      </c>
      <c r="I21" s="3" t="inlineStr">
        <is>
          <t>Implement unit tests with Pytest, use environment variables for configs, and add Swagger API docstrings.</t>
        </is>
      </c>
      <c r="J21" s="3" t="inlineStr">
        <is>
          <t>The submission demonstrates good understanding of Mobile App Developer workflows. Score: 54/100. Please address identified corrections before re-evaluation.</t>
        </is>
      </c>
      <c r="K21" s="3" t="n">
        <v>54</v>
      </c>
      <c r="L21" s="3" t="inlineStr">
        <is>
          <t>Pending Reviewer Approval</t>
        </is>
      </c>
      <c r="M21" s="3" t="inlineStr">
        <is>
          <t>Refactor error handling and re-submit for Review 2.</t>
        </is>
      </c>
    </row>
    <row r="22">
      <c r="A22" s="2" t="inlineStr">
        <is>
          <t>STU-052</t>
        </is>
      </c>
      <c r="B22" s="2" t="inlineStr">
        <is>
          <t>TASK-DEVO-402</t>
        </is>
      </c>
      <c r="C22" s="2" t="n">
        <v>1</v>
      </c>
      <c r="D22" s="2" t="inlineStr">
        <is>
          <t>Completed initial implementation for Kubernetes Microservices Observability with Prometheus &amp; Grafana.</t>
        </is>
      </c>
      <c r="E22" s="2" t="inlineStr">
        <is>
          <t>K8s manifest hygiene (25 pts), Observability coverage (Golden signals) (35 pts), Alerting precision (20 pts), Chaos testing validation (20 pts).</t>
        </is>
      </c>
      <c r="F22" s="2" t="inlineStr">
        <is>
          <t>Missing input validation, hardcoded connection strings, and zero test coverage.</t>
        </is>
      </c>
      <c r="G22" s="2" t="inlineStr">
        <is>
          <t>Required Dockerfile and automated integration tests were not found.</t>
        </is>
      </c>
      <c r="H22" s="2" t="inlineStr">
        <is>
          <t>Modular structure, clean documentation, robust core logic implementation.</t>
        </is>
      </c>
      <c r="I22" s="2" t="inlineStr">
        <is>
          <t>Implement unit tests with Pytest, use environment variables for configs, and add Swagger API docstrings.</t>
        </is>
      </c>
      <c r="J22" s="2" t="inlineStr">
        <is>
          <t>The submission demonstrates good understanding of Cloud &amp; DevOps Engineer workflows. Score: 54/100. Please address identified corrections before re-evaluation.</t>
        </is>
      </c>
      <c r="K22" s="2" t="n">
        <v>54</v>
      </c>
      <c r="L22" s="2" t="inlineStr">
        <is>
          <t>Pending Reviewer Approval</t>
        </is>
      </c>
      <c r="M22" s="2" t="inlineStr">
        <is>
          <t>Refactor error handling and re-submit for Review 2.</t>
        </is>
      </c>
    </row>
    <row r="23">
      <c r="A23" s="3" t="inlineStr">
        <is>
          <t>STU-051</t>
        </is>
      </c>
      <c r="B23" s="3" t="inlineStr">
        <is>
          <t>TASK-DATA-301</t>
        </is>
      </c>
      <c r="C23" s="3" t="n">
        <v>1</v>
      </c>
      <c r="D23" s="3" t="inlineStr">
        <is>
          <t>Completed initial implementation for Automated Multi-Source Retail Sales ETL &amp; KPI Dashboard.</t>
        </is>
      </c>
      <c r="E23" s="3" t="inlineStr">
        <is>
          <t>ETL robustness &amp; data hygiene (30 pts), Metric calculations (CLV, Cohorts) (30 pts), Visual layout &amp; interactivity (25 pts), Executive summary quality (15 pts).</t>
        </is>
      </c>
      <c r="F23" s="3" t="inlineStr">
        <is>
          <t>Missing input validation, hardcoded connection strings, and zero test coverage.</t>
        </is>
      </c>
      <c r="G23" s="3" t="inlineStr">
        <is>
          <t>Required Dockerfile and automated integration tests were not found.</t>
        </is>
      </c>
      <c r="H23" s="3" t="inlineStr">
        <is>
          <t>Modular structure, clean documentation, robust core logic implementation.</t>
        </is>
      </c>
      <c r="I23" s="3" t="inlineStr">
        <is>
          <t>Implement unit tests with Pytest, use environment variables for configs, and add Swagger API docstrings.</t>
        </is>
      </c>
      <c r="J23" s="3" t="inlineStr">
        <is>
          <t>The submission demonstrates good understanding of Data Analyst workflows. Score: 54/100. Please address identified corrections before re-evaluation.</t>
        </is>
      </c>
      <c r="K23" s="3" t="n">
        <v>54</v>
      </c>
      <c r="L23" s="3" t="inlineStr">
        <is>
          <t>Pending Reviewer Approval</t>
        </is>
      </c>
      <c r="M23" s="3" t="inlineStr">
        <is>
          <t>Refactor error handling and re-submit for Review 2.</t>
        </is>
      </c>
    </row>
    <row r="24">
      <c r="A24" s="2" t="inlineStr">
        <is>
          <t>STU-050</t>
        </is>
      </c>
      <c r="B24" s="2" t="inlineStr">
        <is>
          <t>TASK-FSWD-202</t>
        </is>
      </c>
      <c r="C24" s="2" t="n">
        <v>1</v>
      </c>
      <c r="D24" s="2" t="inlineStr">
        <is>
          <t>Completed initial implementation for Real-Time Collaboration Kanban Board with WebSockets.</t>
        </is>
      </c>
      <c r="E24" s="2" t="inlineStr">
        <is>
          <t>WebSocket efficiency &amp; reconnect logic (30 pts), Drag-and-drop state sync (30 pts), Code structure &amp; modularity (20 pts), UI responsiveness (20 pts).</t>
        </is>
      </c>
      <c r="F24" s="2" t="inlineStr">
        <is>
          <t>Missing input validation, hardcoded connection strings, and zero test coverage.</t>
        </is>
      </c>
      <c r="G24" s="2" t="inlineStr">
        <is>
          <t>Required Dockerfile and automated integration tests were not found.</t>
        </is>
      </c>
      <c r="H24" s="2" t="inlineStr">
        <is>
          <t>Modular structure, clean documentation, robust core logic implementation.</t>
        </is>
      </c>
      <c r="I24" s="2" t="inlineStr">
        <is>
          <t>Implement unit tests with Pytest, use environment variables for configs, and add Swagger API docstrings.</t>
        </is>
      </c>
      <c r="J24" s="2" t="inlineStr">
        <is>
          <t>The submission demonstrates good understanding of Full Stack Web Developer workflows. Score: 54/100. Please address identified corrections before re-evaluation.</t>
        </is>
      </c>
      <c r="K24" s="2" t="n">
        <v>54</v>
      </c>
      <c r="L24" s="2" t="inlineStr">
        <is>
          <t>Pending Reviewer Approval</t>
        </is>
      </c>
      <c r="M24" s="2" t="inlineStr">
        <is>
          <t>Refactor error handling and re-submit for Review 2.</t>
        </is>
      </c>
    </row>
    <row r="25">
      <c r="A25" s="3" t="inlineStr">
        <is>
          <t>STU-049</t>
        </is>
      </c>
      <c r="B25" s="3" t="inlineStr">
        <is>
          <t>TASK-AIML-101</t>
        </is>
      </c>
      <c r="C25" s="3" t="n">
        <v>1</v>
      </c>
      <c r="D25" s="3" t="inlineStr">
        <is>
          <t>Completed initial implementation for Customer Churn Prediction Pipeline with Scikit-Learn &amp; FastAPI.</t>
        </is>
      </c>
      <c r="E25" s="3" t="inlineStr">
        <is>
          <t>Data preprocessing (20 pts), Model tuning &amp; ROC-AUC &gt; 0.82 (30 pts), API design &amp; error handling (25 pts), Documentation &amp; Docker setup (25 pts).</t>
        </is>
      </c>
      <c r="F25" s="3" t="inlineStr">
        <is>
          <t>Missing input validation, hardcoded connection strings, and zero test coverage.</t>
        </is>
      </c>
      <c r="G25" s="3" t="inlineStr">
        <is>
          <t>Required Dockerfile and automated integration tests were not found.</t>
        </is>
      </c>
      <c r="H25" s="3" t="inlineStr">
        <is>
          <t>Modular structure, clean documentation, robust core logic implementation.</t>
        </is>
      </c>
      <c r="I25" s="3" t="inlineStr">
        <is>
          <t>Implement unit tests with Pytest, use environment variables for configs, and add Swagger API docstrings.</t>
        </is>
      </c>
      <c r="J25" s="3" t="inlineStr">
        <is>
          <t>The submission demonstrates good understanding of AI/ML Engineer workflows. Score: 54/100. Please address identified corrections before re-evaluation.</t>
        </is>
      </c>
      <c r="K25" s="3" t="n">
        <v>54</v>
      </c>
      <c r="L25" s="3" t="inlineStr">
        <is>
          <t>Pending Reviewer Approval</t>
        </is>
      </c>
      <c r="M25" s="3" t="inlineStr">
        <is>
          <t>Refactor error handling and re-submit for Review 2.</t>
        </is>
      </c>
    </row>
    <row r="26">
      <c r="A26" s="2" t="inlineStr">
        <is>
          <t>STU-048</t>
        </is>
      </c>
      <c r="B26" s="2" t="inlineStr">
        <is>
          <t>TASK-CYBR-602</t>
        </is>
      </c>
      <c r="C26" s="2" t="n">
        <v>1</v>
      </c>
      <c r="D26" s="2" t="inlineStr">
        <is>
          <t>Completed initial implementation for SOC Intrusion Detection &amp; SIEM Log Correlation Engine.</t>
        </is>
      </c>
      <c r="E26" s="2" t="inlineStr">
        <is>
          <t>Rule precision &amp; detection logic (35 pts), Parser throughput &amp; scalability (25 pts), Triage workflow integration (25 pts), Test dataset &amp; coverage (15 pts).</t>
        </is>
      </c>
      <c r="F26" s="2" t="inlineStr">
        <is>
          <t>Missing input validation, hardcoded connection strings, and zero test coverage.</t>
        </is>
      </c>
      <c r="G26" s="2" t="inlineStr">
        <is>
          <t>Required Dockerfile and automated integration tests were not found.</t>
        </is>
      </c>
      <c r="H26" s="2" t="inlineStr">
        <is>
          <t>Modular structure, clean documentation, robust core logic implementation.</t>
        </is>
      </c>
      <c r="I26" s="2" t="inlineStr">
        <is>
          <t>Implement unit tests with Pytest, use environment variables for configs, and add Swagger API docstrings.</t>
        </is>
      </c>
      <c r="J26" s="2" t="inlineStr">
        <is>
          <t>The submission demonstrates good understanding of Cybersecurity Specialist workflows. Score: 54/100. Please address identified corrections before re-evaluation.</t>
        </is>
      </c>
      <c r="K26" s="2" t="n">
        <v>54</v>
      </c>
      <c r="L26" s="2" t="inlineStr">
        <is>
          <t>Pending Reviewer Approval</t>
        </is>
      </c>
      <c r="M26" s="2" t="inlineStr">
        <is>
          <t>Refactor error handling and re-submit for Review 2.</t>
        </is>
      </c>
    </row>
    <row r="27">
      <c r="A27" s="3" t="inlineStr">
        <is>
          <t>STU-047</t>
        </is>
      </c>
      <c r="B27" s="3" t="inlineStr">
        <is>
          <t>TASK-MOBL-501</t>
        </is>
      </c>
      <c r="C27" s="3" t="n">
        <v>1</v>
      </c>
      <c r="D27" s="3" t="inlineStr">
        <is>
          <t>Completed initial implementation for Cross-Platform Habit Tracker with Offline SQLite &amp; Push Alerts.</t>
        </is>
      </c>
      <c r="E27" s="3" t="inlineStr">
        <is>
          <t>Offline sync &amp; local persistence (30 pts), UI fluid animations &amp; responsiveness (30 pts), Notification reliability (20 pts), Clean architecture (20 pts).</t>
        </is>
      </c>
      <c r="F27" s="3" t="inlineStr">
        <is>
          <t>Missing input validation, hardcoded connection strings, and zero test coverage.</t>
        </is>
      </c>
      <c r="G27" s="3" t="inlineStr">
        <is>
          <t>Required Dockerfile and automated integration tests were not found.</t>
        </is>
      </c>
      <c r="H27" s="3" t="inlineStr">
        <is>
          <t>Modular structure, clean documentation, robust core logic implementation.</t>
        </is>
      </c>
      <c r="I27" s="3" t="inlineStr">
        <is>
          <t>Implement unit tests with Pytest, use environment variables for configs, and add Swagger API docstrings.</t>
        </is>
      </c>
      <c r="J27" s="3" t="inlineStr">
        <is>
          <t>The submission demonstrates good understanding of Mobile App Developer workflows. Score: 54/100. Please address identified corrections before re-evaluation.</t>
        </is>
      </c>
      <c r="K27" s="3" t="n">
        <v>54</v>
      </c>
      <c r="L27" s="3" t="inlineStr">
        <is>
          <t>Pending Reviewer Approval</t>
        </is>
      </c>
      <c r="M27" s="3" t="inlineStr">
        <is>
          <t>Refactor error handling and re-submit for Review 2.</t>
        </is>
      </c>
    </row>
    <row r="28">
      <c r="A28" s="2" t="inlineStr">
        <is>
          <t>STU-046</t>
        </is>
      </c>
      <c r="B28" s="2" t="inlineStr">
        <is>
          <t>TASK-DEVO-402</t>
        </is>
      </c>
      <c r="C28" s="2" t="n">
        <v>1</v>
      </c>
      <c r="D28" s="2" t="inlineStr">
        <is>
          <t>Completed initial implementation for Kubernetes Microservices Observability with Prometheus &amp; Grafana.</t>
        </is>
      </c>
      <c r="E28" s="2" t="inlineStr">
        <is>
          <t>K8s manifest hygiene (25 pts), Observability coverage (Golden signals) (35 pts), Alerting precision (20 pts), Chaos testing validation (20 pts).</t>
        </is>
      </c>
      <c r="F28" s="2" t="inlineStr">
        <is>
          <t>Missing input validation, hardcoded connection strings, and zero test coverage.</t>
        </is>
      </c>
      <c r="G28" s="2" t="inlineStr">
        <is>
          <t>Required Dockerfile and automated integration tests were not found.</t>
        </is>
      </c>
      <c r="H28" s="2" t="inlineStr">
        <is>
          <t>Modular structure, clean documentation, robust core logic implementation.</t>
        </is>
      </c>
      <c r="I28" s="2" t="inlineStr">
        <is>
          <t>Implement unit tests with Pytest, use environment variables for configs, and add Swagger API docstrings.</t>
        </is>
      </c>
      <c r="J28" s="2" t="inlineStr">
        <is>
          <t>The submission demonstrates good understanding of Cloud &amp; DevOps Engineer workflows. Score: 54/100. Please address identified corrections before re-evaluation.</t>
        </is>
      </c>
      <c r="K28" s="2" t="n">
        <v>54</v>
      </c>
      <c r="L28" s="2" t="inlineStr">
        <is>
          <t>Pending Reviewer Approval</t>
        </is>
      </c>
      <c r="M28" s="2" t="inlineStr">
        <is>
          <t>Refactor error handling and re-submit for Review 2.</t>
        </is>
      </c>
    </row>
    <row r="29">
      <c r="A29" s="3" t="inlineStr">
        <is>
          <t>STU-045</t>
        </is>
      </c>
      <c r="B29" s="3" t="inlineStr">
        <is>
          <t>TASK-DATA-301</t>
        </is>
      </c>
      <c r="C29" s="3" t="n">
        <v>1</v>
      </c>
      <c r="D29" s="3" t="inlineStr">
        <is>
          <t>Completed initial implementation for Automated Multi-Source Retail Sales ETL &amp; KPI Dashboard.</t>
        </is>
      </c>
      <c r="E29" s="3" t="inlineStr">
        <is>
          <t>ETL robustness &amp; data hygiene (30 pts), Metric calculations (CLV, Cohorts) (30 pts), Visual layout &amp; interactivity (25 pts), Executive summary quality (15 pts).</t>
        </is>
      </c>
      <c r="F29" s="3" t="inlineStr">
        <is>
          <t>Missing input validation, hardcoded connection strings, and zero test coverage.</t>
        </is>
      </c>
      <c r="G29" s="3" t="inlineStr">
        <is>
          <t>Required Dockerfile and automated integration tests were not found.</t>
        </is>
      </c>
      <c r="H29" s="3" t="inlineStr">
        <is>
          <t>Modular structure, clean documentation, robust core logic implementation.</t>
        </is>
      </c>
      <c r="I29" s="3" t="inlineStr">
        <is>
          <t>Implement unit tests with Pytest, use environment variables for configs, and add Swagger API docstrings.</t>
        </is>
      </c>
      <c r="J29" s="3" t="inlineStr">
        <is>
          <t>The submission demonstrates good understanding of Data Analyst workflows. Score: 54/100. Please address identified corrections before re-evaluation.</t>
        </is>
      </c>
      <c r="K29" s="3" t="n">
        <v>54</v>
      </c>
      <c r="L29" s="3" t="inlineStr">
        <is>
          <t>Pending Reviewer Approval</t>
        </is>
      </c>
      <c r="M29" s="3" t="inlineStr">
        <is>
          <t>Refactor error handling and re-submit for Review 2.</t>
        </is>
      </c>
    </row>
    <row r="30">
      <c r="A30" s="2" t="inlineStr">
        <is>
          <t>STU-044</t>
        </is>
      </c>
      <c r="B30" s="2" t="inlineStr">
        <is>
          <t>TASK-FSWD-202</t>
        </is>
      </c>
      <c r="C30" s="2" t="n">
        <v>1</v>
      </c>
      <c r="D30" s="2" t="inlineStr">
        <is>
          <t>Completed initial implementation for Real-Time Collaboration Kanban Board with WebSockets.</t>
        </is>
      </c>
      <c r="E30" s="2" t="inlineStr">
        <is>
          <t>WebSocket efficiency &amp; reconnect logic (30 pts), Drag-and-drop state sync (30 pts), Code structure &amp; modularity (20 pts), UI responsiveness (20 pts).</t>
        </is>
      </c>
      <c r="F30" s="2" t="inlineStr">
        <is>
          <t>Missing input validation, hardcoded connection strings, and zero test coverage.</t>
        </is>
      </c>
      <c r="G30" s="2" t="inlineStr">
        <is>
          <t>Required Dockerfile and automated integration tests were not found.</t>
        </is>
      </c>
      <c r="H30" s="2" t="inlineStr">
        <is>
          <t>Modular structure, clean documentation, robust core logic implementation.</t>
        </is>
      </c>
      <c r="I30" s="2" t="inlineStr">
        <is>
          <t>Implement unit tests with Pytest, use environment variables for configs, and add Swagger API docstrings.</t>
        </is>
      </c>
      <c r="J30" s="2" t="inlineStr">
        <is>
          <t>The submission demonstrates good understanding of Full Stack Web Developer workflows. Score: 54/100. Please address identified corrections before re-evaluation.</t>
        </is>
      </c>
      <c r="K30" s="2" t="n">
        <v>54</v>
      </c>
      <c r="L30" s="2" t="inlineStr">
        <is>
          <t>Pending Reviewer Approval</t>
        </is>
      </c>
      <c r="M30" s="2" t="inlineStr">
        <is>
          <t>Refactor error handling and re-submit for Review 2.</t>
        </is>
      </c>
    </row>
    <row r="31">
      <c r="A31" s="3" t="inlineStr">
        <is>
          <t>STU-043</t>
        </is>
      </c>
      <c r="B31" s="3" t="inlineStr">
        <is>
          <t>TASK-AIML-101</t>
        </is>
      </c>
      <c r="C31" s="3" t="n">
        <v>1</v>
      </c>
      <c r="D31" s="3" t="inlineStr">
        <is>
          <t>Completed initial implementation for Customer Churn Prediction Pipeline with Scikit-Learn &amp; FastAPI.</t>
        </is>
      </c>
      <c r="E31" s="3" t="inlineStr">
        <is>
          <t>Data preprocessing (20 pts), Model tuning &amp; ROC-AUC &gt; 0.82 (30 pts), API design &amp; error handling (25 pts), Documentation &amp; Docker setup (25 pts).</t>
        </is>
      </c>
      <c r="F31" s="3" t="inlineStr">
        <is>
          <t>Missing input validation, hardcoded connection strings, and zero test coverage.</t>
        </is>
      </c>
      <c r="G31" s="3" t="inlineStr">
        <is>
          <t>Required Dockerfile and automated integration tests were not found.</t>
        </is>
      </c>
      <c r="H31" s="3" t="inlineStr">
        <is>
          <t>Modular structure, clean documentation, robust core logic implementation.</t>
        </is>
      </c>
      <c r="I31" s="3" t="inlineStr">
        <is>
          <t>Implement unit tests with Pytest, use environment variables for configs, and add Swagger API docstrings.</t>
        </is>
      </c>
      <c r="J31" s="3" t="inlineStr">
        <is>
          <t>The submission demonstrates good understanding of AI/ML Engineer workflows. Score: 54/100. Please address identified corrections before re-evaluation.</t>
        </is>
      </c>
      <c r="K31" s="3" t="n">
        <v>54</v>
      </c>
      <c r="L31" s="3" t="inlineStr">
        <is>
          <t>Pending Reviewer Approval</t>
        </is>
      </c>
      <c r="M31" s="3" t="inlineStr">
        <is>
          <t>Refactor error handling and re-submit for Review 2.</t>
        </is>
      </c>
    </row>
    <row r="32">
      <c r="A32" s="2" t="inlineStr">
        <is>
          <t>STU-042</t>
        </is>
      </c>
      <c r="B32" s="2" t="inlineStr">
        <is>
          <t>TASK-CYBR-602</t>
        </is>
      </c>
      <c r="C32" s="2" t="n">
        <v>1</v>
      </c>
      <c r="D32" s="2" t="inlineStr">
        <is>
          <t>Completed initial implementation for SOC Intrusion Detection &amp; SIEM Log Correlation Engine.</t>
        </is>
      </c>
      <c r="E32" s="2" t="inlineStr">
        <is>
          <t>Rule precision &amp; detection logic (35 pts), Parser throughput &amp; scalability (25 pts), Triage workflow integration (25 pts), Test dataset &amp; coverage (15 pts).</t>
        </is>
      </c>
      <c r="F32" s="2" t="inlineStr">
        <is>
          <t>Missing input validation, hardcoded connection strings, and zero test coverage.</t>
        </is>
      </c>
      <c r="G32" s="2" t="inlineStr">
        <is>
          <t>Required Dockerfile and automated integration tests were not found.</t>
        </is>
      </c>
      <c r="H32" s="2" t="inlineStr">
        <is>
          <t>Modular structure, clean documentation, robust core logic implementation.</t>
        </is>
      </c>
      <c r="I32" s="2" t="inlineStr">
        <is>
          <t>Implement unit tests with Pytest, use environment variables for configs, and add Swagger API docstrings.</t>
        </is>
      </c>
      <c r="J32" s="2" t="inlineStr">
        <is>
          <t>The submission demonstrates good understanding of Cybersecurity Specialist workflows. Score: 54/100. Please address identified corrections before re-evaluation.</t>
        </is>
      </c>
      <c r="K32" s="2" t="n">
        <v>54</v>
      </c>
      <c r="L32" s="2" t="inlineStr">
        <is>
          <t>Pending Reviewer Approval</t>
        </is>
      </c>
      <c r="M32" s="2" t="inlineStr">
        <is>
          <t>Refactor error handling and re-submit for Review 2.</t>
        </is>
      </c>
    </row>
    <row r="33">
      <c r="A33" s="3" t="inlineStr">
        <is>
          <t>STU-041</t>
        </is>
      </c>
      <c r="B33" s="3" t="inlineStr">
        <is>
          <t>TASK-MOBL-501</t>
        </is>
      </c>
      <c r="C33" s="3" t="n">
        <v>1</v>
      </c>
      <c r="D33" s="3" t="inlineStr">
        <is>
          <t>Completed initial implementation for Cross-Platform Habit Tracker with Offline SQLite &amp; Push Alerts.</t>
        </is>
      </c>
      <c r="E33" s="3" t="inlineStr">
        <is>
          <t>Offline sync &amp; local persistence (30 pts), UI fluid animations &amp; responsiveness (30 pts), Notification reliability (20 pts), Clean architecture (20 pts).</t>
        </is>
      </c>
      <c r="F33" s="3" t="inlineStr">
        <is>
          <t>Missing input validation, hardcoded connection strings, and zero test coverage.</t>
        </is>
      </c>
      <c r="G33" s="3" t="inlineStr">
        <is>
          <t>Required Dockerfile and automated integration tests were not found.</t>
        </is>
      </c>
      <c r="H33" s="3" t="inlineStr">
        <is>
          <t>Modular structure, clean documentation, robust core logic implementation.</t>
        </is>
      </c>
      <c r="I33" s="3" t="inlineStr">
        <is>
          <t>Implement unit tests with Pytest, use environment variables for configs, and add Swagger API docstrings.</t>
        </is>
      </c>
      <c r="J33" s="3" t="inlineStr">
        <is>
          <t>The submission demonstrates good understanding of Mobile App Developer workflows. Score: 54/100. Please address identified corrections before re-evaluation.</t>
        </is>
      </c>
      <c r="K33" s="3" t="n">
        <v>54</v>
      </c>
      <c r="L33" s="3" t="inlineStr">
        <is>
          <t>Pending Reviewer Approval</t>
        </is>
      </c>
      <c r="M33" s="3" t="inlineStr">
        <is>
          <t>Refactor error handling and re-submit for Review 2.</t>
        </is>
      </c>
    </row>
    <row r="34">
      <c r="A34" s="2" t="inlineStr">
        <is>
          <t>STU-040</t>
        </is>
      </c>
      <c r="B34" s="2" t="inlineStr">
        <is>
          <t>TASK-DEVO-402</t>
        </is>
      </c>
      <c r="C34" s="2" t="n">
        <v>1</v>
      </c>
      <c r="D34" s="2" t="inlineStr">
        <is>
          <t>Completed initial implementation for Kubernetes Microservices Observability with Prometheus &amp; Grafana.</t>
        </is>
      </c>
      <c r="E34" s="2" t="inlineStr">
        <is>
          <t>K8s manifest hygiene (25 pts), Observability coverage (Golden signals) (35 pts), Alerting precision (20 pts), Chaos testing validation (20 pts).</t>
        </is>
      </c>
      <c r="F34" s="2" t="inlineStr">
        <is>
          <t>Missing input validation, hardcoded connection strings, and zero test coverage.</t>
        </is>
      </c>
      <c r="G34" s="2" t="inlineStr">
        <is>
          <t>Required Dockerfile and automated integration tests were not found.</t>
        </is>
      </c>
      <c r="H34" s="2" t="inlineStr">
        <is>
          <t>Modular structure, clean documentation, robust core logic implementation.</t>
        </is>
      </c>
      <c r="I34" s="2" t="inlineStr">
        <is>
          <t>Implement unit tests with Pytest, use environment variables for configs, and add Swagger API docstrings.</t>
        </is>
      </c>
      <c r="J34" s="2" t="inlineStr">
        <is>
          <t>The submission demonstrates good understanding of Cloud &amp; DevOps Engineer workflows. Score: 62/100. Please address identified corrections before re-evaluation.</t>
        </is>
      </c>
      <c r="K34" s="2" t="n">
        <v>62</v>
      </c>
      <c r="L34" s="2" t="inlineStr">
        <is>
          <t>Pending Reviewer Approval</t>
        </is>
      </c>
      <c r="M34" s="2" t="inlineStr">
        <is>
          <t>Refactor error handling and re-submit for Review 2.</t>
        </is>
      </c>
    </row>
    <row r="35">
      <c r="A35" s="3" t="inlineStr">
        <is>
          <t>STU-039</t>
        </is>
      </c>
      <c r="B35" s="3" t="inlineStr">
        <is>
          <t>TASK-DATA-301</t>
        </is>
      </c>
      <c r="C35" s="3" t="n">
        <v>1</v>
      </c>
      <c r="D35" s="3" t="inlineStr">
        <is>
          <t>Completed initial implementation for Automated Multi-Source Retail Sales ETL &amp; KPI Dashboard.</t>
        </is>
      </c>
      <c r="E35" s="3" t="inlineStr">
        <is>
          <t>ETL robustness &amp; data hygiene (30 pts), Metric calculations (CLV, Cohorts) (30 pts), Visual layout &amp; interactivity (25 pts), Executive summary quality (15 pts).</t>
        </is>
      </c>
      <c r="F35" s="3" t="inlineStr">
        <is>
          <t>Missing input validation, hardcoded connection strings, and zero test coverage.</t>
        </is>
      </c>
      <c r="G35" s="3" t="inlineStr">
        <is>
          <t>Required Dockerfile and automated integration tests were not found.</t>
        </is>
      </c>
      <c r="H35" s="3" t="inlineStr">
        <is>
          <t>Modular structure, clean documentation, robust core logic implementation.</t>
        </is>
      </c>
      <c r="I35" s="3" t="inlineStr">
        <is>
          <t>Implement unit tests with Pytest, use environment variables for configs, and add Swagger API docstrings.</t>
        </is>
      </c>
      <c r="J35" s="3" t="inlineStr">
        <is>
          <t>The submission demonstrates good understanding of Data Analyst workflows. Score: 62/100. Please address identified corrections before re-evaluation.</t>
        </is>
      </c>
      <c r="K35" s="3" t="n">
        <v>62</v>
      </c>
      <c r="L35" s="3" t="inlineStr">
        <is>
          <t>Pending Reviewer Approval</t>
        </is>
      </c>
      <c r="M35" s="3" t="inlineStr">
        <is>
          <t>Refactor error handling and re-submit for Review 2.</t>
        </is>
      </c>
    </row>
    <row r="36">
      <c r="A36" s="2" t="inlineStr">
        <is>
          <t>STU-038</t>
        </is>
      </c>
      <c r="B36" s="2" t="inlineStr">
        <is>
          <t>TASK-FSWD-202</t>
        </is>
      </c>
      <c r="C36" s="2" t="n">
        <v>1</v>
      </c>
      <c r="D36" s="2" t="inlineStr">
        <is>
          <t>Completed initial implementation for Real-Time Collaboration Kanban Board with WebSockets.</t>
        </is>
      </c>
      <c r="E36" s="2" t="inlineStr">
        <is>
          <t>WebSocket efficiency &amp; reconnect logic (30 pts), Drag-and-drop state sync (30 pts), Code structure &amp; modularity (20 pts), UI responsiveness (20 pts).</t>
        </is>
      </c>
      <c r="F36" s="2" t="inlineStr">
        <is>
          <t>Missing input validation, hardcoded connection strings, and zero test coverage.</t>
        </is>
      </c>
      <c r="G36" s="2" t="inlineStr">
        <is>
          <t>Required Dockerfile and automated integration tests were not found.</t>
        </is>
      </c>
      <c r="H36" s="2" t="inlineStr">
        <is>
          <t>Modular structure, clean documentation, robust core logic implementation.</t>
        </is>
      </c>
      <c r="I36" s="2" t="inlineStr">
        <is>
          <t>Implement unit tests with Pytest, use environment variables for configs, and add Swagger API docstrings.</t>
        </is>
      </c>
      <c r="J36" s="2" t="inlineStr">
        <is>
          <t>The submission demonstrates good understanding of Full Stack Web Developer workflows. Score: 62/100. Please address identified corrections before re-evaluation.</t>
        </is>
      </c>
      <c r="K36" s="2" t="n">
        <v>62</v>
      </c>
      <c r="L36" s="2" t="inlineStr">
        <is>
          <t>Pending Reviewer Approval</t>
        </is>
      </c>
      <c r="M36" s="2" t="inlineStr">
        <is>
          <t>Refactor error handling and re-submit for Review 2.</t>
        </is>
      </c>
    </row>
    <row r="37">
      <c r="A37" s="3" t="inlineStr">
        <is>
          <t>STU-037</t>
        </is>
      </c>
      <c r="B37" s="3" t="inlineStr">
        <is>
          <t>TASK-AIML-101</t>
        </is>
      </c>
      <c r="C37" s="3" t="n">
        <v>1</v>
      </c>
      <c r="D37" s="3" t="inlineStr">
        <is>
          <t>Completed initial implementation for Customer Churn Prediction Pipeline with Scikit-Learn &amp; FastAPI.</t>
        </is>
      </c>
      <c r="E37" s="3" t="inlineStr">
        <is>
          <t>Data preprocessing (20 pts), Model tuning &amp; ROC-AUC &gt; 0.82 (30 pts), API design &amp; error handling (25 pts), Documentation &amp; Docker setup (25 pts).</t>
        </is>
      </c>
      <c r="F37" s="3" t="inlineStr">
        <is>
          <t>Missing input validation, hardcoded connection strings, and zero test coverage.</t>
        </is>
      </c>
      <c r="G37" s="3" t="inlineStr">
        <is>
          <t>Required Dockerfile and automated integration tests were not found.</t>
        </is>
      </c>
      <c r="H37" s="3" t="inlineStr">
        <is>
          <t>Modular structure, clean documentation, robust core logic implementation.</t>
        </is>
      </c>
      <c r="I37" s="3" t="inlineStr">
        <is>
          <t>Implement unit tests with Pytest, use environment variables for configs, and add Swagger API docstrings.</t>
        </is>
      </c>
      <c r="J37" s="3" t="inlineStr">
        <is>
          <t>The submission demonstrates good understanding of AI/ML Engineer workflows. Score: 62/100. Please address identified corrections before re-evaluation.</t>
        </is>
      </c>
      <c r="K37" s="3" t="n">
        <v>62</v>
      </c>
      <c r="L37" s="3" t="inlineStr">
        <is>
          <t>Pending Reviewer Approval</t>
        </is>
      </c>
      <c r="M37" s="3" t="inlineStr">
        <is>
          <t>Refactor error handling and re-submit for Review 2.</t>
        </is>
      </c>
    </row>
    <row r="38">
      <c r="A38" s="2" t="inlineStr">
        <is>
          <t>STU-036</t>
        </is>
      </c>
      <c r="B38" s="2" t="inlineStr">
        <is>
          <t>TASK-CYBR-602</t>
        </is>
      </c>
      <c r="C38" s="2" t="n">
        <v>1</v>
      </c>
      <c r="D38" s="2" t="inlineStr">
        <is>
          <t>Completed initial implementation for SOC Intrusion Detection &amp; SIEM Log Correlation Engine.</t>
        </is>
      </c>
      <c r="E38" s="2" t="inlineStr">
        <is>
          <t>Rule precision &amp; detection logic (35 pts), Parser throughput &amp; scalability (25 pts), Triage workflow integration (25 pts), Test dataset &amp; coverage (15 pts).</t>
        </is>
      </c>
      <c r="F38" s="2" t="inlineStr">
        <is>
          <t>Missing input validation, hardcoded connection strings, and zero test coverage.</t>
        </is>
      </c>
      <c r="G38" s="2" t="inlineStr">
        <is>
          <t>Required Dockerfile and automated integration tests were not found.</t>
        </is>
      </c>
      <c r="H38" s="2" t="inlineStr">
        <is>
          <t>Modular structure, clean documentation, robust core logic implementation.</t>
        </is>
      </c>
      <c r="I38" s="2" t="inlineStr">
        <is>
          <t>Implement unit tests with Pytest, use environment variables for configs, and add Swagger API docstrings.</t>
        </is>
      </c>
      <c r="J38" s="2" t="inlineStr">
        <is>
          <t>The submission demonstrates good understanding of Cybersecurity Specialist workflows. Score: 62/100. Please address identified corrections before re-evaluation.</t>
        </is>
      </c>
      <c r="K38" s="2" t="n">
        <v>62</v>
      </c>
      <c r="L38" s="2" t="inlineStr">
        <is>
          <t>Pending Reviewer Approval</t>
        </is>
      </c>
      <c r="M38" s="2" t="inlineStr">
        <is>
          <t>Refactor error handling and re-submit for Review 2.</t>
        </is>
      </c>
    </row>
    <row r="39">
      <c r="A39" s="3" t="inlineStr">
        <is>
          <t>STU-035</t>
        </is>
      </c>
      <c r="B39" s="3" t="inlineStr">
        <is>
          <t>TASK-MOBL-501</t>
        </is>
      </c>
      <c r="C39" s="3" t="n">
        <v>1</v>
      </c>
      <c r="D39" s="3" t="inlineStr">
        <is>
          <t>Completed initial implementation for Cross-Platform Habit Tracker with Offline SQLite &amp; Push Alerts.</t>
        </is>
      </c>
      <c r="E39" s="3" t="inlineStr">
        <is>
          <t>Offline sync &amp; local persistence (30 pts), UI fluid animations &amp; responsiveness (30 pts), Notification reliability (20 pts), Clean architecture (20 pts).</t>
        </is>
      </c>
      <c r="F39" s="3" t="inlineStr">
        <is>
          <t>Missing input validation, hardcoded connection strings, and zero test coverage.</t>
        </is>
      </c>
      <c r="G39" s="3" t="inlineStr">
        <is>
          <t>Required Dockerfile and automated integration tests were not found.</t>
        </is>
      </c>
      <c r="H39" s="3" t="inlineStr">
        <is>
          <t>Modular structure, clean documentation, robust core logic implementation.</t>
        </is>
      </c>
      <c r="I39" s="3" t="inlineStr">
        <is>
          <t>Implement unit tests with Pytest, use environment variables for configs, and add Swagger API docstrings.</t>
        </is>
      </c>
      <c r="J39" s="3" t="inlineStr">
        <is>
          <t>The submission demonstrates good understanding of Mobile App Developer workflows. Score: 62/100. Please address identified corrections before re-evaluation.</t>
        </is>
      </c>
      <c r="K39" s="3" t="n">
        <v>62</v>
      </c>
      <c r="L39" s="3" t="inlineStr">
        <is>
          <t>Pending Reviewer Approval</t>
        </is>
      </c>
      <c r="M39" s="3" t="inlineStr">
        <is>
          <t>Refactor error handling and re-submit for Review 2.</t>
        </is>
      </c>
    </row>
    <row r="40">
      <c r="A40" s="2" t="inlineStr">
        <is>
          <t>STU-034</t>
        </is>
      </c>
      <c r="B40" s="2" t="inlineStr">
        <is>
          <t>TASK-DEVO-402</t>
        </is>
      </c>
      <c r="C40" s="2" t="n">
        <v>1</v>
      </c>
      <c r="D40" s="2" t="inlineStr">
        <is>
          <t>Completed initial implementation for Kubernetes Microservices Observability with Prometheus &amp; Grafana.</t>
        </is>
      </c>
      <c r="E40" s="2" t="inlineStr">
        <is>
          <t>K8s manifest hygiene (25 pts), Observability coverage (Golden signals) (35 pts), Alerting precision (20 pts), Chaos testing validation (20 pts).</t>
        </is>
      </c>
      <c r="F40" s="2" t="inlineStr">
        <is>
          <t>Missing input validation, hardcoded connection strings, and zero test coverage.</t>
        </is>
      </c>
      <c r="G40" s="2" t="inlineStr">
        <is>
          <t>Required Dockerfile and automated integration tests were not found.</t>
        </is>
      </c>
      <c r="H40" s="2" t="inlineStr">
        <is>
          <t>Modular structure, clean documentation, robust core logic implementation.</t>
        </is>
      </c>
      <c r="I40" s="2" t="inlineStr">
        <is>
          <t>Implement unit tests with Pytest, use environment variables for configs, and add Swagger API docstrings.</t>
        </is>
      </c>
      <c r="J40" s="2" t="inlineStr">
        <is>
          <t>The submission demonstrates good understanding of Cloud &amp; DevOps Engineer workflows. Score: 62/100. Please address identified corrections before re-evaluation.</t>
        </is>
      </c>
      <c r="K40" s="2" t="n">
        <v>62</v>
      </c>
      <c r="L40" s="2" t="inlineStr">
        <is>
          <t>Pending Reviewer Approval</t>
        </is>
      </c>
      <c r="M40" s="2" t="inlineStr">
        <is>
          <t>Refactor error handling and re-submit for Review 2.</t>
        </is>
      </c>
    </row>
    <row r="41">
      <c r="A41" s="3" t="inlineStr">
        <is>
          <t>STU-033</t>
        </is>
      </c>
      <c r="B41" s="3" t="inlineStr">
        <is>
          <t>TASK-DATA-301</t>
        </is>
      </c>
      <c r="C41" s="3" t="n">
        <v>1</v>
      </c>
      <c r="D41" s="3" t="inlineStr">
        <is>
          <t>Completed initial implementation for Automated Multi-Source Retail Sales ETL &amp; KPI Dashboard.</t>
        </is>
      </c>
      <c r="E41" s="3" t="inlineStr">
        <is>
          <t>ETL robustness &amp; data hygiene (30 pts), Metric calculations (CLV, Cohorts) (30 pts), Visual layout &amp; interactivity (25 pts), Executive summary quality (15 pts).</t>
        </is>
      </c>
      <c r="F41" s="3" t="inlineStr">
        <is>
          <t>Missing input validation, hardcoded connection strings, and zero test coverage.</t>
        </is>
      </c>
      <c r="G41" s="3" t="inlineStr">
        <is>
          <t>Required Dockerfile and automated integration tests were not found.</t>
        </is>
      </c>
      <c r="H41" s="3" t="inlineStr">
        <is>
          <t>Modular structure, clean documentation, robust core logic implementation.</t>
        </is>
      </c>
      <c r="I41" s="3" t="inlineStr">
        <is>
          <t>Implement unit tests with Pytest, use environment variables for configs, and add Swagger API docstrings.</t>
        </is>
      </c>
      <c r="J41" s="3" t="inlineStr">
        <is>
          <t>The submission demonstrates good understanding of Data Analyst workflows. Score: 62/100. Please address identified corrections before re-evaluation.</t>
        </is>
      </c>
      <c r="K41" s="3" t="n">
        <v>62</v>
      </c>
      <c r="L41" s="3" t="inlineStr">
        <is>
          <t>Pending Reviewer Approval</t>
        </is>
      </c>
      <c r="M41" s="3" t="inlineStr">
        <is>
          <t>Refactor error handling and re-submit for Review 2.</t>
        </is>
      </c>
    </row>
    <row r="42">
      <c r="A42" s="2" t="inlineStr">
        <is>
          <t>STU-032</t>
        </is>
      </c>
      <c r="B42" s="2" t="inlineStr">
        <is>
          <t>TASK-FSWD-202</t>
        </is>
      </c>
      <c r="C42" s="2" t="n">
        <v>1</v>
      </c>
      <c r="D42" s="2" t="inlineStr">
        <is>
          <t>Completed initial implementation for Real-Time Collaboration Kanban Board with WebSockets.</t>
        </is>
      </c>
      <c r="E42" s="2" t="inlineStr">
        <is>
          <t>WebSocket efficiency &amp; reconnect logic (30 pts), Drag-and-drop state sync (30 pts), Code structure &amp; modularity (20 pts), UI responsiveness (20 pts).</t>
        </is>
      </c>
      <c r="F42" s="2" t="inlineStr">
        <is>
          <t>Missing input validation, hardcoded connection strings, and zero test coverage.</t>
        </is>
      </c>
      <c r="G42" s="2" t="inlineStr">
        <is>
          <t>Required Dockerfile and automated integration tests were not found.</t>
        </is>
      </c>
      <c r="H42" s="2" t="inlineStr">
        <is>
          <t>Modular structure, clean documentation, robust core logic implementation.</t>
        </is>
      </c>
      <c r="I42" s="2" t="inlineStr">
        <is>
          <t>Implement unit tests with Pytest, use environment variables for configs, and add Swagger API docstrings.</t>
        </is>
      </c>
      <c r="J42" s="2" t="inlineStr">
        <is>
          <t>The submission demonstrates good understanding of Full Stack Web Developer workflows. Score: 62/100. Please address identified corrections before re-evaluation.</t>
        </is>
      </c>
      <c r="K42" s="2" t="n">
        <v>62</v>
      </c>
      <c r="L42" s="2" t="inlineStr">
        <is>
          <t>Pending Reviewer Approval</t>
        </is>
      </c>
      <c r="M42" s="2" t="inlineStr">
        <is>
          <t>Refactor error handling and re-submit for Review 2.</t>
        </is>
      </c>
    </row>
    <row r="43">
      <c r="A43" s="3" t="inlineStr">
        <is>
          <t>STU-031</t>
        </is>
      </c>
      <c r="B43" s="3" t="inlineStr">
        <is>
          <t>TASK-AIML-101</t>
        </is>
      </c>
      <c r="C43" s="3" t="n">
        <v>1</v>
      </c>
      <c r="D43" s="3" t="inlineStr">
        <is>
          <t>Completed initial implementation for Customer Churn Prediction Pipeline with Scikit-Learn &amp; FastAPI.</t>
        </is>
      </c>
      <c r="E43" s="3" t="inlineStr">
        <is>
          <t>Data preprocessing (20 pts), Model tuning &amp; ROC-AUC &gt; 0.82 (30 pts), API design &amp; error handling (25 pts), Documentation &amp; Docker setup (25 pts).</t>
        </is>
      </c>
      <c r="F43" s="3" t="inlineStr">
        <is>
          <t>Missing input validation, hardcoded connection strings, and zero test coverage.</t>
        </is>
      </c>
      <c r="G43" s="3" t="inlineStr">
        <is>
          <t>Required Dockerfile and automated integration tests were not found.</t>
        </is>
      </c>
      <c r="H43" s="3" t="inlineStr">
        <is>
          <t>Modular structure, clean documentation, robust core logic implementation.</t>
        </is>
      </c>
      <c r="I43" s="3" t="inlineStr">
        <is>
          <t>Implement unit tests with Pytest, use environment variables for configs, and add Swagger API docstrings.</t>
        </is>
      </c>
      <c r="J43" s="3" t="inlineStr">
        <is>
          <t>The submission demonstrates good understanding of AI/ML Engineer workflows. Score: 62/100. Please address identified corrections before re-evaluation.</t>
        </is>
      </c>
      <c r="K43" s="3" t="n">
        <v>62</v>
      </c>
      <c r="L43" s="3" t="inlineStr">
        <is>
          <t>Pending Reviewer Approval</t>
        </is>
      </c>
      <c r="M43" s="3" t="inlineStr">
        <is>
          <t>Refactor error handling and re-submit for Review 2.</t>
        </is>
      </c>
    </row>
    <row r="44">
      <c r="A44" s="2" t="inlineStr">
        <is>
          <t>STU-030</t>
        </is>
      </c>
      <c r="B44" s="2" t="inlineStr">
        <is>
          <t>TASK-CYBR-602</t>
        </is>
      </c>
      <c r="C44" s="2" t="n">
        <v>1</v>
      </c>
      <c r="D44" s="2" t="inlineStr">
        <is>
          <t>Completed initial implementation for SOC Intrusion Detection &amp; SIEM Log Correlation Engine.</t>
        </is>
      </c>
      <c r="E44" s="2" t="inlineStr">
        <is>
          <t>Rule precision &amp; detection logic (35 pts), Parser throughput &amp; scalability (25 pts), Triage workflow integration (25 pts), Test dataset &amp; coverage (15 pts).</t>
        </is>
      </c>
      <c r="F44" s="2" t="inlineStr">
        <is>
          <t>Missing input validation, hardcoded connection strings, and zero test coverage.</t>
        </is>
      </c>
      <c r="G44" s="2" t="inlineStr">
        <is>
          <t>Required Dockerfile and automated integration tests were not found.</t>
        </is>
      </c>
      <c r="H44" s="2" t="inlineStr">
        <is>
          <t>Modular structure, clean documentation, robust core logic implementation.</t>
        </is>
      </c>
      <c r="I44" s="2" t="inlineStr">
        <is>
          <t>Implement unit tests with Pytest, use environment variables for configs, and add Swagger API docstrings.</t>
        </is>
      </c>
      <c r="J44" s="2" t="inlineStr">
        <is>
          <t>The submission demonstrates good understanding of Cybersecurity Specialist workflows. Score: 62/100. Please address identified corrections before re-evaluation.</t>
        </is>
      </c>
      <c r="K44" s="2" t="n">
        <v>62</v>
      </c>
      <c r="L44" s="2" t="inlineStr">
        <is>
          <t>Pending Reviewer Approval</t>
        </is>
      </c>
      <c r="M44" s="2" t="inlineStr">
        <is>
          <t>Refactor error handling and re-submit for Review 2.</t>
        </is>
      </c>
    </row>
    <row r="45">
      <c r="A45" s="3" t="inlineStr">
        <is>
          <t>STU-029</t>
        </is>
      </c>
      <c r="B45" s="3" t="inlineStr">
        <is>
          <t>TASK-MOBL-501</t>
        </is>
      </c>
      <c r="C45" s="3" t="n">
        <v>1</v>
      </c>
      <c r="D45" s="3" t="inlineStr">
        <is>
          <t>Completed initial implementation for Cross-Platform Habit Tracker with Offline SQLite &amp; Push Alerts.</t>
        </is>
      </c>
      <c r="E45" s="3" t="inlineStr">
        <is>
          <t>Offline sync &amp; local persistence (30 pts), UI fluid animations &amp; responsiveness (30 pts), Notification reliability (20 pts), Clean architecture (20 pts).</t>
        </is>
      </c>
      <c r="F45" s="3" t="inlineStr">
        <is>
          <t>Missing input validation, hardcoded connection strings, and zero test coverage.</t>
        </is>
      </c>
      <c r="G45" s="3" t="inlineStr">
        <is>
          <t>Required Dockerfile and automated integration tests were not found.</t>
        </is>
      </c>
      <c r="H45" s="3" t="inlineStr">
        <is>
          <t>Modular structure, clean documentation, robust core logic implementation.</t>
        </is>
      </c>
      <c r="I45" s="3" t="inlineStr">
        <is>
          <t>Implement unit tests with Pytest, use environment variables for configs, and add Swagger API docstrings.</t>
        </is>
      </c>
      <c r="J45" s="3" t="inlineStr">
        <is>
          <t>The submission demonstrates good understanding of Mobile App Developer workflows. Score: 62/100. Please address identified corrections before re-evaluation.</t>
        </is>
      </c>
      <c r="K45" s="3" t="n">
        <v>62</v>
      </c>
      <c r="L45" s="3" t="inlineStr">
        <is>
          <t>Pending Reviewer Approval</t>
        </is>
      </c>
      <c r="M45" s="3" t="inlineStr">
        <is>
          <t>Refactor error handling and re-submit for Review 2.</t>
        </is>
      </c>
    </row>
    <row r="46">
      <c r="A46" s="2" t="inlineStr">
        <is>
          <t>STU-028</t>
        </is>
      </c>
      <c r="B46" s="2" t="inlineStr">
        <is>
          <t>TASK-DEVO-402</t>
        </is>
      </c>
      <c r="C46" s="2" t="n">
        <v>1</v>
      </c>
      <c r="D46" s="2" t="inlineStr">
        <is>
          <t>Completed initial implementation for Kubernetes Microservices Observability with Prometheus &amp; Grafana.</t>
        </is>
      </c>
      <c r="E46" s="2" t="inlineStr">
        <is>
          <t>K8s manifest hygiene (25 pts), Observability coverage (Golden signals) (35 pts), Alerting precision (20 pts), Chaos testing validation (20 pts).</t>
        </is>
      </c>
      <c r="F46" s="2" t="inlineStr">
        <is>
          <t>Missing input validation, hardcoded connection strings, and zero test coverage.</t>
        </is>
      </c>
      <c r="G46" s="2" t="inlineStr">
        <is>
          <t>Required Dockerfile and automated integration tests were not found.</t>
        </is>
      </c>
      <c r="H46" s="2" t="inlineStr">
        <is>
          <t>Modular structure, clean documentation, robust core logic implementation.</t>
        </is>
      </c>
      <c r="I46" s="2" t="inlineStr">
        <is>
          <t>Implement unit tests with Pytest, use environment variables for configs, and add Swagger API docstrings.</t>
        </is>
      </c>
      <c r="J46" s="2" t="inlineStr">
        <is>
          <t>The submission demonstrates good understanding of Cloud &amp; DevOps Engineer workflows. Score: 62/100. Please address identified corrections before re-evaluation.</t>
        </is>
      </c>
      <c r="K46" s="2" t="n">
        <v>62</v>
      </c>
      <c r="L46" s="2" t="inlineStr">
        <is>
          <t>Pending Reviewer Approval</t>
        </is>
      </c>
      <c r="M46" s="2" t="inlineStr">
        <is>
          <t>Refactor error handling and re-submit for Review 2.</t>
        </is>
      </c>
    </row>
    <row r="47">
      <c r="A47" s="3" t="inlineStr">
        <is>
          <t>STU-027</t>
        </is>
      </c>
      <c r="B47" s="3" t="inlineStr">
        <is>
          <t>TASK-DATA-301</t>
        </is>
      </c>
      <c r="C47" s="3" t="n">
        <v>1</v>
      </c>
      <c r="D47" s="3" t="inlineStr">
        <is>
          <t>Completed initial implementation for Automated Multi-Source Retail Sales ETL &amp; KPI Dashboard.</t>
        </is>
      </c>
      <c r="E47" s="3" t="inlineStr">
        <is>
          <t>ETL robustness &amp; data hygiene (30 pts), Metric calculations (CLV, Cohorts) (30 pts), Visual layout &amp; interactivity (25 pts), Executive summary quality (15 pts).</t>
        </is>
      </c>
      <c r="F47" s="3" t="inlineStr">
        <is>
          <t>Missing input validation, hardcoded connection strings, and zero test coverage.</t>
        </is>
      </c>
      <c r="G47" s="3" t="inlineStr">
        <is>
          <t>Required Dockerfile and automated integration tests were not found.</t>
        </is>
      </c>
      <c r="H47" s="3" t="inlineStr">
        <is>
          <t>Modular structure, clean documentation, robust core logic implementation.</t>
        </is>
      </c>
      <c r="I47" s="3" t="inlineStr">
        <is>
          <t>Implement unit tests with Pytest, use environment variables for configs, and add Swagger API docstrings.</t>
        </is>
      </c>
      <c r="J47" s="3" t="inlineStr">
        <is>
          <t>The submission demonstrates good understanding of Data Analyst workflows. Score: 62/100. Please address identified corrections before re-evaluation.</t>
        </is>
      </c>
      <c r="K47" s="3" t="n">
        <v>62</v>
      </c>
      <c r="L47" s="3" t="inlineStr">
        <is>
          <t>Pending Reviewer Approval</t>
        </is>
      </c>
      <c r="M47" s="3" t="inlineStr">
        <is>
          <t>Refactor error handling and re-submit for Review 2.</t>
        </is>
      </c>
    </row>
    <row r="48">
      <c r="A48" s="2" t="inlineStr">
        <is>
          <t>STU-026</t>
        </is>
      </c>
      <c r="B48" s="2" t="inlineStr">
        <is>
          <t>TASK-FSWD-202</t>
        </is>
      </c>
      <c r="C48" s="2" t="n">
        <v>1</v>
      </c>
      <c r="D48" s="2" t="inlineStr">
        <is>
          <t>Completed initial implementation for Real-Time Collaboration Kanban Board with WebSockets.</t>
        </is>
      </c>
      <c r="E48" s="2" t="inlineStr">
        <is>
          <t>WebSocket efficiency &amp; reconnect logic (30 pts), Drag-and-drop state sync (30 pts), Code structure &amp; modularity (20 pts), UI responsiveness (20 pts).</t>
        </is>
      </c>
      <c r="F48" s="2" t="inlineStr">
        <is>
          <t>Missing input validation, hardcoded connection strings, and zero test coverage.</t>
        </is>
      </c>
      <c r="G48" s="2" t="inlineStr">
        <is>
          <t>Required Dockerfile and automated integration tests were not found.</t>
        </is>
      </c>
      <c r="H48" s="2" t="inlineStr">
        <is>
          <t>Modular structure, clean documentation, robust core logic implementation.</t>
        </is>
      </c>
      <c r="I48" s="2" t="inlineStr">
        <is>
          <t>Implement unit tests with Pytest, use environment variables for configs, and add Swagger API docstrings.</t>
        </is>
      </c>
      <c r="J48" s="2" t="inlineStr">
        <is>
          <t>The submission demonstrates good understanding of Full Stack Web Developer workflows. Score: 62/100. Please address identified corrections before re-evaluation.</t>
        </is>
      </c>
      <c r="K48" s="2" t="n">
        <v>62</v>
      </c>
      <c r="L48" s="2" t="inlineStr">
        <is>
          <t>Pending Reviewer Approval</t>
        </is>
      </c>
      <c r="M48" s="2" t="inlineStr">
        <is>
          <t>Refactor error handling and re-submit for Review 2.</t>
        </is>
      </c>
    </row>
    <row r="49">
      <c r="A49" s="3" t="inlineStr">
        <is>
          <t>STU-025</t>
        </is>
      </c>
      <c r="B49" s="3" t="inlineStr">
        <is>
          <t>TASK-AIML-101</t>
        </is>
      </c>
      <c r="C49" s="3" t="n">
        <v>1</v>
      </c>
      <c r="D49" s="3" t="inlineStr">
        <is>
          <t>Completed initial implementation for Customer Churn Prediction Pipeline with Scikit-Learn &amp; FastAPI.</t>
        </is>
      </c>
      <c r="E49" s="3" t="inlineStr">
        <is>
          <t>Data preprocessing (20 pts), Model tuning &amp; ROC-AUC &gt; 0.82 (30 pts), API design &amp; error handling (25 pts), Documentation &amp; Docker setup (25 pts).</t>
        </is>
      </c>
      <c r="F49" s="3" t="inlineStr">
        <is>
          <t>Missing input validation, hardcoded connection strings, and zero test coverage.</t>
        </is>
      </c>
      <c r="G49" s="3" t="inlineStr">
        <is>
          <t>Required Dockerfile and automated integration tests were not found.</t>
        </is>
      </c>
      <c r="H49" s="3" t="inlineStr">
        <is>
          <t>Modular structure, clean documentation, robust core logic implementation.</t>
        </is>
      </c>
      <c r="I49" s="3" t="inlineStr">
        <is>
          <t>Implement unit tests with Pytest, use environment variables for configs, and add Swagger API docstrings.</t>
        </is>
      </c>
      <c r="J49" s="3" t="inlineStr">
        <is>
          <t>The submission demonstrates good understanding of AI/ML Engineer workflows. Score: 62/100. Please address identified corrections before re-evaluation.</t>
        </is>
      </c>
      <c r="K49" s="3" t="n">
        <v>62</v>
      </c>
      <c r="L49" s="3" t="inlineStr">
        <is>
          <t>Pending Reviewer Approval</t>
        </is>
      </c>
      <c r="M49" s="3" t="inlineStr">
        <is>
          <t>Refactor error handling and re-submit for Review 2.</t>
        </is>
      </c>
    </row>
    <row r="50">
      <c r="A50" s="2" t="inlineStr">
        <is>
          <t>STU-024</t>
        </is>
      </c>
      <c r="B50" s="2" t="inlineStr">
        <is>
          <t>TASK-CYBR-602</t>
        </is>
      </c>
      <c r="C50" s="2" t="n">
        <v>1</v>
      </c>
      <c r="D50" s="2" t="inlineStr">
        <is>
          <t>Completed initial implementation for SOC Intrusion Detection &amp; SIEM Log Correlation Engine.</t>
        </is>
      </c>
      <c r="E50" s="2" t="inlineStr">
        <is>
          <t>Rule precision &amp; detection logic (35 pts), Parser throughput &amp; scalability (25 pts), Triage workflow integration (25 pts), Test dataset &amp; coverage (15 pts).</t>
        </is>
      </c>
      <c r="F50" s="2" t="inlineStr">
        <is>
          <t>Missing input validation, hardcoded connection strings, and zero test coverage.</t>
        </is>
      </c>
      <c r="G50" s="2" t="inlineStr">
        <is>
          <t>Required Dockerfile and automated integration tests were not found.</t>
        </is>
      </c>
      <c r="H50" s="2" t="inlineStr">
        <is>
          <t>Modular structure, clean documentation, robust core logic implementation.</t>
        </is>
      </c>
      <c r="I50" s="2" t="inlineStr">
        <is>
          <t>Implement unit tests with Pytest, use environment variables for configs, and add Swagger API docstrings.</t>
        </is>
      </c>
      <c r="J50" s="2" t="inlineStr">
        <is>
          <t>The submission demonstrates good understanding of Cybersecurity Specialist workflows. Score: 62/100. Please address identified corrections before re-evaluation.</t>
        </is>
      </c>
      <c r="K50" s="2" t="n">
        <v>62</v>
      </c>
      <c r="L50" s="2" t="inlineStr">
        <is>
          <t>Pending Reviewer Approval</t>
        </is>
      </c>
      <c r="M50" s="2" t="inlineStr">
        <is>
          <t>Refactor error handling and re-submit for Review 2.</t>
        </is>
      </c>
    </row>
    <row r="51">
      <c r="A51" s="3" t="inlineStr">
        <is>
          <t>STU-023</t>
        </is>
      </c>
      <c r="B51" s="3" t="inlineStr">
        <is>
          <t>TASK-MOBL-501</t>
        </is>
      </c>
      <c r="C51" s="3" t="n">
        <v>1</v>
      </c>
      <c r="D51" s="3" t="inlineStr">
        <is>
          <t>Completed initial implementation for Cross-Platform Habit Tracker with Offline SQLite &amp; Push Alerts.</t>
        </is>
      </c>
      <c r="E51" s="3" t="inlineStr">
        <is>
          <t>Offline sync &amp; local persistence (30 pts), UI fluid animations &amp; responsiveness (30 pts), Notification reliability (20 pts), Clean architecture (20 pts).</t>
        </is>
      </c>
      <c r="F51" s="3" t="inlineStr">
        <is>
          <t>Missing input validation, hardcoded connection strings, and zero test coverage.</t>
        </is>
      </c>
      <c r="G51" s="3" t="inlineStr">
        <is>
          <t>Required Dockerfile and automated integration tests were not found.</t>
        </is>
      </c>
      <c r="H51" s="3" t="inlineStr">
        <is>
          <t>Modular structure, clean documentation, robust core logic implementation.</t>
        </is>
      </c>
      <c r="I51" s="3" t="inlineStr">
        <is>
          <t>Implement unit tests with Pytest, use environment variables for configs, and add Swagger API docstrings.</t>
        </is>
      </c>
      <c r="J51" s="3" t="inlineStr">
        <is>
          <t>The submission demonstrates good understanding of Mobile App Developer workflows. Score: 62/100. Please address identified corrections before re-evaluation.</t>
        </is>
      </c>
      <c r="K51" s="3" t="n">
        <v>62</v>
      </c>
      <c r="L51" s="3" t="inlineStr">
        <is>
          <t>Pending Reviewer Approval</t>
        </is>
      </c>
      <c r="M51" s="3" t="inlineStr">
        <is>
          <t>Refactor error handling and re-submit for Review 2.</t>
        </is>
      </c>
    </row>
    <row r="52">
      <c r="A52" s="2" t="inlineStr">
        <is>
          <t>STU-022</t>
        </is>
      </c>
      <c r="B52" s="2" t="inlineStr">
        <is>
          <t>TASK-DEVO-402</t>
        </is>
      </c>
      <c r="C52" s="2" t="n">
        <v>1</v>
      </c>
      <c r="D52" s="2" t="inlineStr">
        <is>
          <t>Completed initial implementation for Kubernetes Microservices Observability with Prometheus &amp; Grafana.</t>
        </is>
      </c>
      <c r="E52" s="2" t="inlineStr">
        <is>
          <t>K8s manifest hygiene (25 pts), Observability coverage (Golden signals) (35 pts), Alerting precision (20 pts), Chaos testing validation (20 pts).</t>
        </is>
      </c>
      <c r="F52" s="2" t="inlineStr">
        <is>
          <t>Missing input validation, hardcoded connection strings, and zero test coverage.</t>
        </is>
      </c>
      <c r="G52" s="2" t="inlineStr">
        <is>
          <t>Required Dockerfile and automated integration tests were not found.</t>
        </is>
      </c>
      <c r="H52" s="2" t="inlineStr">
        <is>
          <t>Modular structure, clean documentation, robust core logic implementation.</t>
        </is>
      </c>
      <c r="I52" s="2" t="inlineStr">
        <is>
          <t>Implement unit tests with Pytest, use environment variables for configs, and add Swagger API docstrings.</t>
        </is>
      </c>
      <c r="J52" s="2" t="inlineStr">
        <is>
          <t>The submission demonstrates good understanding of Cloud &amp; DevOps Engineer workflows. Score: 62/100. Please address identified corrections before re-evaluation.</t>
        </is>
      </c>
      <c r="K52" s="2" t="n">
        <v>62</v>
      </c>
      <c r="L52" s="2" t="inlineStr">
        <is>
          <t>Pending Reviewer Approval</t>
        </is>
      </c>
      <c r="M52" s="2" t="inlineStr">
        <is>
          <t>Refactor error handling and re-submit for Review 2.</t>
        </is>
      </c>
    </row>
    <row r="53">
      <c r="A53" s="3" t="inlineStr">
        <is>
          <t>STU-021</t>
        </is>
      </c>
      <c r="B53" s="3" t="inlineStr">
        <is>
          <t>TASK-DATA-301</t>
        </is>
      </c>
      <c r="C53" s="3" t="n">
        <v>1</v>
      </c>
      <c r="D53" s="3" t="inlineStr">
        <is>
          <t>Completed initial implementation for Automated Multi-Source Retail Sales ETL &amp; KPI Dashboard.</t>
        </is>
      </c>
      <c r="E53" s="3" t="inlineStr">
        <is>
          <t>ETL robustness &amp; data hygiene (30 pts), Metric calculations (CLV, Cohorts) (30 pts), Visual layout &amp; interactivity (25 pts), Executive summary quality (15 pts).</t>
        </is>
      </c>
      <c r="F53" s="3" t="inlineStr">
        <is>
          <t>Missing input validation, hardcoded connection strings, and zero test coverage.</t>
        </is>
      </c>
      <c r="G53" s="3" t="inlineStr">
        <is>
          <t>Required Dockerfile and automated integration tests were not found.</t>
        </is>
      </c>
      <c r="H53" s="3" t="inlineStr">
        <is>
          <t>Modular structure, clean documentation, robust core logic implementation.</t>
        </is>
      </c>
      <c r="I53" s="3" t="inlineStr">
        <is>
          <t>Implement unit tests with Pytest, use environment variables for configs, and add Swagger API docstrings.</t>
        </is>
      </c>
      <c r="J53" s="3" t="inlineStr">
        <is>
          <t>The submission demonstrates good understanding of Data Analyst workflows. Score: 62/100. Please address identified corrections before re-evaluation.</t>
        </is>
      </c>
      <c r="K53" s="3" t="n">
        <v>62</v>
      </c>
      <c r="L53" s="3" t="inlineStr">
        <is>
          <t>Pending Reviewer Approval</t>
        </is>
      </c>
      <c r="M53" s="3" t="inlineStr">
        <is>
          <t>Refactor error handling and re-submit for Review 2.</t>
        </is>
      </c>
    </row>
    <row r="54">
      <c r="A54" s="2" t="inlineStr">
        <is>
          <t>STU-020</t>
        </is>
      </c>
      <c r="B54" s="2" t="inlineStr">
        <is>
          <t>TASK-FSWD-202</t>
        </is>
      </c>
      <c r="C54" s="2" t="n">
        <v>2</v>
      </c>
      <c r="D54" s="2" t="inlineStr">
        <is>
          <t>Completed initial implementation for Real-Time Collaboration Kanban Board with WebSockets.</t>
        </is>
      </c>
      <c r="E54" s="2" t="inlineStr">
        <is>
          <t>WebSocket efficiency &amp; reconnect logic (30 pts), Drag-and-drop state sync (30 pts), Code structure &amp; modularity (20 pts), UI responsiveness (20 pts).</t>
        </is>
      </c>
      <c r="F54" s="2" t="inlineStr">
        <is>
          <t>None critical</t>
        </is>
      </c>
      <c r="G54" s="2" t="inlineStr">
        <is>
          <t>None</t>
        </is>
      </c>
      <c r="H54" s="2" t="inlineStr">
        <is>
          <t>Modular structure, clean documentation, robust core logic implementation.</t>
        </is>
      </c>
      <c r="I54" s="2" t="inlineStr">
        <is>
          <t>Implement unit tests with Pytest, use environment variables for configs, and add Swagger API docstrings.</t>
        </is>
      </c>
      <c r="J54" s="2" t="inlineStr">
        <is>
          <t>The submission demonstrates good understanding of Full Stack Web Developer workflows. Score: 84/100. Please address identified corrections before re-evaluation.</t>
        </is>
      </c>
      <c r="K54" s="2" t="n">
        <v>84</v>
      </c>
      <c r="L54" s="2" t="inlineStr">
        <is>
          <t>Approved</t>
        </is>
      </c>
      <c r="M54" s="2" t="inlineStr">
        <is>
          <t>Proceed to next module</t>
        </is>
      </c>
    </row>
    <row r="55">
      <c r="A55" s="3" t="inlineStr">
        <is>
          <t>STU-019</t>
        </is>
      </c>
      <c r="B55" s="3" t="inlineStr">
        <is>
          <t>TASK-AIML-101</t>
        </is>
      </c>
      <c r="C55" s="3" t="n">
        <v>2</v>
      </c>
      <c r="D55" s="3" t="inlineStr">
        <is>
          <t>Completed initial implementation for Customer Churn Prediction Pipeline with Scikit-Learn &amp; FastAPI.</t>
        </is>
      </c>
      <c r="E55" s="3" t="inlineStr">
        <is>
          <t>Data preprocessing (20 pts), Model tuning &amp; ROC-AUC &gt; 0.82 (30 pts), API design &amp; error handling (25 pts), Documentation &amp; Docker setup (25 pts).</t>
        </is>
      </c>
      <c r="F55" s="3" t="inlineStr">
        <is>
          <t>None critical</t>
        </is>
      </c>
      <c r="G55" s="3" t="inlineStr">
        <is>
          <t>None</t>
        </is>
      </c>
      <c r="H55" s="3" t="inlineStr">
        <is>
          <t>Modular structure, clean documentation, robust core logic implementation.</t>
        </is>
      </c>
      <c r="I55" s="3" t="inlineStr">
        <is>
          <t>Implement unit tests with Pytest, use environment variables for configs, and add Swagger API docstrings.</t>
        </is>
      </c>
      <c r="J55" s="3" t="inlineStr">
        <is>
          <t>The submission demonstrates good understanding of AI/ML Engineer workflows. Score: 84/100. Please address identified corrections before re-evaluation.</t>
        </is>
      </c>
      <c r="K55" s="3" t="n">
        <v>84</v>
      </c>
      <c r="L55" s="3" t="inlineStr">
        <is>
          <t>Approved</t>
        </is>
      </c>
      <c r="M55" s="3" t="inlineStr">
        <is>
          <t>Proceed to next module</t>
        </is>
      </c>
    </row>
    <row r="56">
      <c r="A56" s="2" t="inlineStr">
        <is>
          <t>STU-018</t>
        </is>
      </c>
      <c r="B56" s="2" t="inlineStr">
        <is>
          <t>TASK-CYBR-602</t>
        </is>
      </c>
      <c r="C56" s="2" t="n">
        <v>2</v>
      </c>
      <c r="D56" s="2" t="inlineStr">
        <is>
          <t>Completed initial implementation for SOC Intrusion Detection &amp; SIEM Log Correlation Engine.</t>
        </is>
      </c>
      <c r="E56" s="2" t="inlineStr">
        <is>
          <t>Rule precision &amp; detection logic (35 pts), Parser throughput &amp; scalability (25 pts), Triage workflow integration (25 pts), Test dataset &amp; coverage (15 pts).</t>
        </is>
      </c>
      <c r="F56" s="2" t="inlineStr">
        <is>
          <t>None critical</t>
        </is>
      </c>
      <c r="G56" s="2" t="inlineStr">
        <is>
          <t>None</t>
        </is>
      </c>
      <c r="H56" s="2" t="inlineStr">
        <is>
          <t>Modular structure, clean documentation, robust core logic implementation.</t>
        </is>
      </c>
      <c r="I56" s="2" t="inlineStr">
        <is>
          <t>Implement unit tests with Pytest, use environment variables for configs, and add Swagger API docstrings.</t>
        </is>
      </c>
      <c r="J56" s="2" t="inlineStr">
        <is>
          <t>The submission demonstrates good understanding of Cybersecurity Specialist workflows. Score: 84/100. Please address identified corrections before re-evaluation.</t>
        </is>
      </c>
      <c r="K56" s="2" t="n">
        <v>84</v>
      </c>
      <c r="L56" s="2" t="inlineStr">
        <is>
          <t>Approved</t>
        </is>
      </c>
      <c r="M56" s="2" t="inlineStr">
        <is>
          <t>Proceed to next module</t>
        </is>
      </c>
    </row>
    <row r="57">
      <c r="A57" s="3" t="inlineStr">
        <is>
          <t>STU-017</t>
        </is>
      </c>
      <c r="B57" s="3" t="inlineStr">
        <is>
          <t>TASK-MOBL-501</t>
        </is>
      </c>
      <c r="C57" s="3" t="n">
        <v>2</v>
      </c>
      <c r="D57" s="3" t="inlineStr">
        <is>
          <t>Completed initial implementation for Cross-Platform Habit Tracker with Offline SQLite &amp; Push Alerts.</t>
        </is>
      </c>
      <c r="E57" s="3" t="inlineStr">
        <is>
          <t>Offline sync &amp; local persistence (30 pts), UI fluid animations &amp; responsiveness (30 pts), Notification reliability (20 pts), Clean architecture (20 pts).</t>
        </is>
      </c>
      <c r="F57" s="3" t="inlineStr">
        <is>
          <t>None critical</t>
        </is>
      </c>
      <c r="G57" s="3" t="inlineStr">
        <is>
          <t>None</t>
        </is>
      </c>
      <c r="H57" s="3" t="inlineStr">
        <is>
          <t>Modular structure, clean documentation, robust core logic implementation.</t>
        </is>
      </c>
      <c r="I57" s="3" t="inlineStr">
        <is>
          <t>Implement unit tests with Pytest, use environment variables for configs, and add Swagger API docstrings.</t>
        </is>
      </c>
      <c r="J57" s="3" t="inlineStr">
        <is>
          <t>The submission demonstrates good understanding of Mobile App Developer workflows. Score: 84/100. Please address identified corrections before re-evaluation.</t>
        </is>
      </c>
      <c r="K57" s="3" t="n">
        <v>84</v>
      </c>
      <c r="L57" s="3" t="inlineStr">
        <is>
          <t>Approved</t>
        </is>
      </c>
      <c r="M57" s="3" t="inlineStr">
        <is>
          <t>Proceed to next module</t>
        </is>
      </c>
    </row>
    <row r="58">
      <c r="A58" s="2" t="inlineStr">
        <is>
          <t>STU-016</t>
        </is>
      </c>
      <c r="B58" s="2" t="inlineStr">
        <is>
          <t>TASK-DEVO-402</t>
        </is>
      </c>
      <c r="C58" s="2" t="n">
        <v>2</v>
      </c>
      <c r="D58" s="2" t="inlineStr">
        <is>
          <t>Completed initial implementation for Kubernetes Microservices Observability with Prometheus &amp; Grafana.</t>
        </is>
      </c>
      <c r="E58" s="2" t="inlineStr">
        <is>
          <t>K8s manifest hygiene (25 pts), Observability coverage (Golden signals) (35 pts), Alerting precision (20 pts), Chaos testing validation (20 pts).</t>
        </is>
      </c>
      <c r="F58" s="2" t="inlineStr">
        <is>
          <t>None critical</t>
        </is>
      </c>
      <c r="G58" s="2" t="inlineStr">
        <is>
          <t>None</t>
        </is>
      </c>
      <c r="H58" s="2" t="inlineStr">
        <is>
          <t>Modular structure, clean documentation, robust core logic implementation.</t>
        </is>
      </c>
      <c r="I58" s="2" t="inlineStr">
        <is>
          <t>Implement unit tests with Pytest, use environment variables for configs, and add Swagger API docstrings.</t>
        </is>
      </c>
      <c r="J58" s="2" t="inlineStr">
        <is>
          <t>The submission demonstrates good understanding of Cloud &amp; DevOps Engineer workflows. Score: 84/100. Please address identified corrections before re-evaluation.</t>
        </is>
      </c>
      <c r="K58" s="2" t="n">
        <v>84</v>
      </c>
      <c r="L58" s="2" t="inlineStr">
        <is>
          <t>Approved</t>
        </is>
      </c>
      <c r="M58" s="2" t="inlineStr">
        <is>
          <t>Proceed to next module</t>
        </is>
      </c>
    </row>
    <row r="59">
      <c r="A59" s="3" t="inlineStr">
        <is>
          <t>STU-015</t>
        </is>
      </c>
      <c r="B59" s="3" t="inlineStr">
        <is>
          <t>TASK-DATA-301</t>
        </is>
      </c>
      <c r="C59" s="3" t="n">
        <v>2</v>
      </c>
      <c r="D59" s="3" t="inlineStr">
        <is>
          <t>Completed initial implementation for Automated Multi-Source Retail Sales ETL &amp; KPI Dashboard.</t>
        </is>
      </c>
      <c r="E59" s="3" t="inlineStr">
        <is>
          <t>ETL robustness &amp; data hygiene (30 pts), Metric calculations (CLV, Cohorts) (30 pts), Visual layout &amp; interactivity (25 pts), Executive summary quality (15 pts).</t>
        </is>
      </c>
      <c r="F59" s="3" t="inlineStr">
        <is>
          <t>None critical</t>
        </is>
      </c>
      <c r="G59" s="3" t="inlineStr">
        <is>
          <t>None</t>
        </is>
      </c>
      <c r="H59" s="3" t="inlineStr">
        <is>
          <t>Modular structure, clean documentation, robust core logic implementation.</t>
        </is>
      </c>
      <c r="I59" s="3" t="inlineStr">
        <is>
          <t>Implement unit tests with Pytest, use environment variables for configs, and add Swagger API docstrings.</t>
        </is>
      </c>
      <c r="J59" s="3" t="inlineStr">
        <is>
          <t>The submission demonstrates good understanding of Data Analyst workflows. Score: 84/100. Please address identified corrections before re-evaluation.</t>
        </is>
      </c>
      <c r="K59" s="3" t="n">
        <v>84</v>
      </c>
      <c r="L59" s="3" t="inlineStr">
        <is>
          <t>Approved</t>
        </is>
      </c>
      <c r="M59" s="3" t="inlineStr">
        <is>
          <t>Proceed to next module</t>
        </is>
      </c>
    </row>
    <row r="60">
      <c r="A60" s="2" t="inlineStr">
        <is>
          <t>STU-014</t>
        </is>
      </c>
      <c r="B60" s="2" t="inlineStr">
        <is>
          <t>TASK-FSWD-202</t>
        </is>
      </c>
      <c r="C60" s="2" t="n">
        <v>2</v>
      </c>
      <c r="D60" s="2" t="inlineStr">
        <is>
          <t>Completed initial implementation for Real-Time Collaboration Kanban Board with WebSockets.</t>
        </is>
      </c>
      <c r="E60" s="2" t="inlineStr">
        <is>
          <t>WebSocket efficiency &amp; reconnect logic (30 pts), Drag-and-drop state sync (30 pts), Code structure &amp; modularity (20 pts), UI responsiveness (20 pts).</t>
        </is>
      </c>
      <c r="F60" s="2" t="inlineStr">
        <is>
          <t>None critical</t>
        </is>
      </c>
      <c r="G60" s="2" t="inlineStr">
        <is>
          <t>None</t>
        </is>
      </c>
      <c r="H60" s="2" t="inlineStr">
        <is>
          <t>Modular structure, clean documentation, robust core logic implementation.</t>
        </is>
      </c>
      <c r="I60" s="2" t="inlineStr">
        <is>
          <t>Implement unit tests with Pytest, use environment variables for configs, and add Swagger API docstrings.</t>
        </is>
      </c>
      <c r="J60" s="2" t="inlineStr">
        <is>
          <t>The submission demonstrates good understanding of Full Stack Web Developer workflows. Score: 84/100. Please address identified corrections before re-evaluation.</t>
        </is>
      </c>
      <c r="K60" s="2" t="n">
        <v>84</v>
      </c>
      <c r="L60" s="2" t="inlineStr">
        <is>
          <t>Approved</t>
        </is>
      </c>
      <c r="M60" s="2" t="inlineStr">
        <is>
          <t>Proceed to next module</t>
        </is>
      </c>
    </row>
    <row r="61">
      <c r="A61" s="3" t="inlineStr">
        <is>
          <t>STU-013</t>
        </is>
      </c>
      <c r="B61" s="3" t="inlineStr">
        <is>
          <t>TASK-AIML-101</t>
        </is>
      </c>
      <c r="C61" s="3" t="n">
        <v>2</v>
      </c>
      <c r="D61" s="3" t="inlineStr">
        <is>
          <t>Completed initial implementation for Customer Churn Prediction Pipeline with Scikit-Learn &amp; FastAPI.</t>
        </is>
      </c>
      <c r="E61" s="3" t="inlineStr">
        <is>
          <t>Data preprocessing (20 pts), Model tuning &amp; ROC-AUC &gt; 0.82 (30 pts), API design &amp; error handling (25 pts), Documentation &amp; Docker setup (25 pts).</t>
        </is>
      </c>
      <c r="F61" s="3" t="inlineStr">
        <is>
          <t>None critical</t>
        </is>
      </c>
      <c r="G61" s="3" t="inlineStr">
        <is>
          <t>None</t>
        </is>
      </c>
      <c r="H61" s="3" t="inlineStr">
        <is>
          <t>Modular structure, clean documentation, robust core logic implementation.</t>
        </is>
      </c>
      <c r="I61" s="3" t="inlineStr">
        <is>
          <t>Implement unit tests with Pytest, use environment variables for configs, and add Swagger API docstrings.</t>
        </is>
      </c>
      <c r="J61" s="3" t="inlineStr">
        <is>
          <t>The submission demonstrates good understanding of AI/ML Engineer workflows. Score: 84/100. Please address identified corrections before re-evaluation.</t>
        </is>
      </c>
      <c r="K61" s="3" t="n">
        <v>84</v>
      </c>
      <c r="L61" s="3" t="inlineStr">
        <is>
          <t>Approved</t>
        </is>
      </c>
      <c r="M61" s="3" t="inlineStr">
        <is>
          <t>Proceed to next module</t>
        </is>
      </c>
    </row>
    <row r="62">
      <c r="A62" s="2" t="inlineStr">
        <is>
          <t>STU-012</t>
        </is>
      </c>
      <c r="B62" s="2" t="inlineStr">
        <is>
          <t>TASK-CYBR-602</t>
        </is>
      </c>
      <c r="C62" s="2" t="n">
        <v>2</v>
      </c>
      <c r="D62" s="2" t="inlineStr">
        <is>
          <t>Completed initial implementation for SOC Intrusion Detection &amp; SIEM Log Correlation Engine.</t>
        </is>
      </c>
      <c r="E62" s="2" t="inlineStr">
        <is>
          <t>Rule precision &amp; detection logic (35 pts), Parser throughput &amp; scalability (25 pts), Triage workflow integration (25 pts), Test dataset &amp; coverage (15 pts).</t>
        </is>
      </c>
      <c r="F62" s="2" t="inlineStr">
        <is>
          <t>None critical</t>
        </is>
      </c>
      <c r="G62" s="2" t="inlineStr">
        <is>
          <t>None</t>
        </is>
      </c>
      <c r="H62" s="2" t="inlineStr">
        <is>
          <t>Modular structure, clean documentation, robust core logic implementation.</t>
        </is>
      </c>
      <c r="I62" s="2" t="inlineStr">
        <is>
          <t>Implement unit tests with Pytest, use environment variables for configs, and add Swagger API docstrings.</t>
        </is>
      </c>
      <c r="J62" s="2" t="inlineStr">
        <is>
          <t>The submission demonstrates good understanding of Cybersecurity Specialist workflows. Score: 84/100. Please address identified corrections before re-evaluation.</t>
        </is>
      </c>
      <c r="K62" s="2" t="n">
        <v>84</v>
      </c>
      <c r="L62" s="2" t="inlineStr">
        <is>
          <t>Approved</t>
        </is>
      </c>
      <c r="M62" s="2" t="inlineStr">
        <is>
          <t>Proceed to next module</t>
        </is>
      </c>
    </row>
    <row r="63">
      <c r="A63" s="3" t="inlineStr">
        <is>
          <t>STU-011</t>
        </is>
      </c>
      <c r="B63" s="3" t="inlineStr">
        <is>
          <t>TASK-MOBL-501</t>
        </is>
      </c>
      <c r="C63" s="3" t="n">
        <v>2</v>
      </c>
      <c r="D63" s="3" t="inlineStr">
        <is>
          <t>Completed initial implementation for Cross-Platform Habit Tracker with Offline SQLite &amp; Push Alerts.</t>
        </is>
      </c>
      <c r="E63" s="3" t="inlineStr">
        <is>
          <t>Offline sync &amp; local persistence (30 pts), UI fluid animations &amp; responsiveness (30 pts), Notification reliability (20 pts), Clean architecture (20 pts).</t>
        </is>
      </c>
      <c r="F63" s="3" t="inlineStr">
        <is>
          <t>None critical</t>
        </is>
      </c>
      <c r="G63" s="3" t="inlineStr">
        <is>
          <t>None</t>
        </is>
      </c>
      <c r="H63" s="3" t="inlineStr">
        <is>
          <t>Modular structure, clean documentation, robust core logic implementation.</t>
        </is>
      </c>
      <c r="I63" s="3" t="inlineStr">
        <is>
          <t>Implement unit tests with Pytest, use environment variables for configs, and add Swagger API docstrings.</t>
        </is>
      </c>
      <c r="J63" s="3" t="inlineStr">
        <is>
          <t>The submission demonstrates good understanding of Mobile App Developer workflows. Score: 84/100. Please address identified corrections before re-evaluation.</t>
        </is>
      </c>
      <c r="K63" s="3" t="n">
        <v>84</v>
      </c>
      <c r="L63" s="3" t="inlineStr">
        <is>
          <t>Approved</t>
        </is>
      </c>
      <c r="M63" s="3" t="inlineStr">
        <is>
          <t>Proceed to next module</t>
        </is>
      </c>
    </row>
    <row r="64">
      <c r="A64" s="2" t="inlineStr">
        <is>
          <t>STU-010</t>
        </is>
      </c>
      <c r="B64" s="2" t="inlineStr">
        <is>
          <t>TASK-DEVO-402</t>
        </is>
      </c>
      <c r="C64" s="2" t="n">
        <v>2</v>
      </c>
      <c r="D64" s="2" t="inlineStr">
        <is>
          <t>Completed initial implementation for Kubernetes Microservices Observability with Prometheus &amp; Grafana.</t>
        </is>
      </c>
      <c r="E64" s="2" t="inlineStr">
        <is>
          <t>K8s manifest hygiene (25 pts), Observability coverage (Golden signals) (35 pts), Alerting precision (20 pts), Chaos testing validation (20 pts).</t>
        </is>
      </c>
      <c r="F64" s="2" t="inlineStr">
        <is>
          <t>None critical</t>
        </is>
      </c>
      <c r="G64" s="2" t="inlineStr">
        <is>
          <t>None</t>
        </is>
      </c>
      <c r="H64" s="2" t="inlineStr">
        <is>
          <t>Modular structure, clean documentation, robust core logic implementation.</t>
        </is>
      </c>
      <c r="I64" s="2" t="inlineStr">
        <is>
          <t>Implement unit tests with Pytest, use environment variables for configs, and add Swagger API docstrings.</t>
        </is>
      </c>
      <c r="J64" s="2" t="inlineStr">
        <is>
          <t>The submission demonstrates good understanding of Cloud &amp; DevOps Engineer workflows. Score: 92/100. Pass with distinction.</t>
        </is>
      </c>
      <c r="K64" s="2" t="n">
        <v>92</v>
      </c>
      <c r="L64" s="2" t="inlineStr">
        <is>
          <t>Approved</t>
        </is>
      </c>
      <c r="M64" s="2" t="inlineStr">
        <is>
          <t>Proceed to next module</t>
        </is>
      </c>
    </row>
    <row r="65">
      <c r="A65" s="3" t="inlineStr">
        <is>
          <t>STU-009</t>
        </is>
      </c>
      <c r="B65" s="3" t="inlineStr">
        <is>
          <t>TASK-DATA-301</t>
        </is>
      </c>
      <c r="C65" s="3" t="n">
        <v>2</v>
      </c>
      <c r="D65" s="3" t="inlineStr">
        <is>
          <t>Completed initial implementation for Automated Multi-Source Retail Sales ETL &amp; KPI Dashboard.</t>
        </is>
      </c>
      <c r="E65" s="3" t="inlineStr">
        <is>
          <t>ETL robustness &amp; data hygiene (30 pts), Metric calculations (CLV, Cohorts) (30 pts), Visual layout &amp; interactivity (25 pts), Executive summary quality (15 pts).</t>
        </is>
      </c>
      <c r="F65" s="3" t="inlineStr">
        <is>
          <t>None critical</t>
        </is>
      </c>
      <c r="G65" s="3" t="inlineStr">
        <is>
          <t>None</t>
        </is>
      </c>
      <c r="H65" s="3" t="inlineStr">
        <is>
          <t>Modular structure, clean documentation, robust core logic implementation.</t>
        </is>
      </c>
      <c r="I65" s="3" t="inlineStr">
        <is>
          <t>Implement unit tests with Pytest, use environment variables for configs, and add Swagger API docstrings.</t>
        </is>
      </c>
      <c r="J65" s="3" t="inlineStr">
        <is>
          <t>The submission demonstrates good understanding of Data Analyst workflows. Score: 92/100. Pass with distinction.</t>
        </is>
      </c>
      <c r="K65" s="3" t="n">
        <v>92</v>
      </c>
      <c r="L65" s="3" t="inlineStr">
        <is>
          <t>Approved</t>
        </is>
      </c>
      <c r="M65" s="3" t="inlineStr">
        <is>
          <t>Proceed to next module</t>
        </is>
      </c>
    </row>
    <row r="66">
      <c r="A66" s="2" t="inlineStr">
        <is>
          <t>STU-008</t>
        </is>
      </c>
      <c r="B66" s="2" t="inlineStr">
        <is>
          <t>TASK-FSWD-202</t>
        </is>
      </c>
      <c r="C66" s="2" t="n">
        <v>2</v>
      </c>
      <c r="D66" s="2" t="inlineStr">
        <is>
          <t>Completed initial implementation for Real-Time Collaboration Kanban Board with WebSockets.</t>
        </is>
      </c>
      <c r="E66" s="2" t="inlineStr">
        <is>
          <t>WebSocket efficiency &amp; reconnect logic (30 pts), Drag-and-drop state sync (30 pts), Code structure &amp; modularity (20 pts), UI responsiveness (20 pts).</t>
        </is>
      </c>
      <c r="F66" s="2" t="inlineStr">
        <is>
          <t>None critical</t>
        </is>
      </c>
      <c r="G66" s="2" t="inlineStr">
        <is>
          <t>None</t>
        </is>
      </c>
      <c r="H66" s="2" t="inlineStr">
        <is>
          <t>Modular structure, clean documentation, robust core logic implementation.</t>
        </is>
      </c>
      <c r="I66" s="2" t="inlineStr">
        <is>
          <t>Implement unit tests with Pytest, use environment variables for configs, and add Swagger API docstrings.</t>
        </is>
      </c>
      <c r="J66" s="2" t="inlineStr">
        <is>
          <t>The submission demonstrates good understanding of Full Stack Web Developer workflows. Score: 92/100. Pass with distinction.</t>
        </is>
      </c>
      <c r="K66" s="2" t="n">
        <v>92</v>
      </c>
      <c r="L66" s="2" t="inlineStr">
        <is>
          <t>Approved</t>
        </is>
      </c>
      <c r="M66" s="2" t="inlineStr">
        <is>
          <t>Proceed to next module</t>
        </is>
      </c>
    </row>
    <row r="67">
      <c r="A67" s="3" t="inlineStr">
        <is>
          <t>STU-007</t>
        </is>
      </c>
      <c r="B67" s="3" t="inlineStr">
        <is>
          <t>TASK-AIML-101</t>
        </is>
      </c>
      <c r="C67" s="3" t="n">
        <v>2</v>
      </c>
      <c r="D67" s="3" t="inlineStr">
        <is>
          <t>Completed initial implementation for Customer Churn Prediction Pipeline with Scikit-Learn &amp; FastAPI.</t>
        </is>
      </c>
      <c r="E67" s="3" t="inlineStr">
        <is>
          <t>Data preprocessing (20 pts), Model tuning &amp; ROC-AUC &gt; 0.82 (30 pts), API design &amp; error handling (25 pts), Documentation &amp; Docker setup (25 pts).</t>
        </is>
      </c>
      <c r="F67" s="3" t="inlineStr">
        <is>
          <t>None critical</t>
        </is>
      </c>
      <c r="G67" s="3" t="inlineStr">
        <is>
          <t>None</t>
        </is>
      </c>
      <c r="H67" s="3" t="inlineStr">
        <is>
          <t>Modular structure, clean documentation, robust core logic implementation.</t>
        </is>
      </c>
      <c r="I67" s="3" t="inlineStr">
        <is>
          <t>Implement unit tests with Pytest, use environment variables for configs, and add Swagger API docstrings.</t>
        </is>
      </c>
      <c r="J67" s="3" t="inlineStr">
        <is>
          <t>The submission demonstrates good understanding of AI/ML Engineer workflows. Score: 92/100. Pass with distinction.</t>
        </is>
      </c>
      <c r="K67" s="3" t="n">
        <v>92</v>
      </c>
      <c r="L67" s="3" t="inlineStr">
        <is>
          <t>Approved</t>
        </is>
      </c>
      <c r="M67" s="3" t="inlineStr">
        <is>
          <t>Proceed to next module</t>
        </is>
      </c>
    </row>
    <row r="68">
      <c r="A68" s="2" t="inlineStr">
        <is>
          <t>STU-006</t>
        </is>
      </c>
      <c r="B68" s="2" t="inlineStr">
        <is>
          <t>TASK-CYBR-602</t>
        </is>
      </c>
      <c r="C68" s="2" t="n">
        <v>2</v>
      </c>
      <c r="D68" s="2" t="inlineStr">
        <is>
          <t>Completed initial implementation for SOC Intrusion Detection &amp; SIEM Log Correlation Engine.</t>
        </is>
      </c>
      <c r="E68" s="2" t="inlineStr">
        <is>
          <t>Rule precision &amp; detection logic (35 pts), Parser throughput &amp; scalability (25 pts), Triage workflow integration (25 pts), Test dataset &amp; coverage (15 pts).</t>
        </is>
      </c>
      <c r="F68" s="2" t="inlineStr">
        <is>
          <t>None critical</t>
        </is>
      </c>
      <c r="G68" s="2" t="inlineStr">
        <is>
          <t>None</t>
        </is>
      </c>
      <c r="H68" s="2" t="inlineStr">
        <is>
          <t>Modular structure, clean documentation, robust core logic implementation.</t>
        </is>
      </c>
      <c r="I68" s="2" t="inlineStr">
        <is>
          <t>Implement unit tests with Pytest, use environment variables for configs, and add Swagger API docstrings.</t>
        </is>
      </c>
      <c r="J68" s="2" t="inlineStr">
        <is>
          <t>The submission demonstrates good understanding of Cybersecurity Specialist workflows. Score: 92/100. Pass with distinction.</t>
        </is>
      </c>
      <c r="K68" s="2" t="n">
        <v>92</v>
      </c>
      <c r="L68" s="2" t="inlineStr">
        <is>
          <t>Approved</t>
        </is>
      </c>
      <c r="M68" s="2" t="inlineStr">
        <is>
          <t>Proceed to next module</t>
        </is>
      </c>
    </row>
    <row r="69">
      <c r="A69" s="3" t="inlineStr">
        <is>
          <t>STU-005</t>
        </is>
      </c>
      <c r="B69" s="3" t="inlineStr">
        <is>
          <t>TASK-MOBL-501</t>
        </is>
      </c>
      <c r="C69" s="3" t="n">
        <v>2</v>
      </c>
      <c r="D69" s="3" t="inlineStr">
        <is>
          <t>Completed initial implementation for Cross-Platform Habit Tracker with Offline SQLite &amp; Push Alerts.</t>
        </is>
      </c>
      <c r="E69" s="3" t="inlineStr">
        <is>
          <t>Offline sync &amp; local persistence (30 pts), UI fluid animations &amp; responsiveness (30 pts), Notification reliability (20 pts), Clean architecture (20 pts).</t>
        </is>
      </c>
      <c r="F69" s="3" t="inlineStr">
        <is>
          <t>None critical</t>
        </is>
      </c>
      <c r="G69" s="3" t="inlineStr">
        <is>
          <t>None</t>
        </is>
      </c>
      <c r="H69" s="3" t="inlineStr">
        <is>
          <t>Modular structure, clean documentation, robust core logic implementation.</t>
        </is>
      </c>
      <c r="I69" s="3" t="inlineStr">
        <is>
          <t>Implement unit tests with Pytest, use environment variables for configs, and add Swagger API docstrings.</t>
        </is>
      </c>
      <c r="J69" s="3" t="inlineStr">
        <is>
          <t>The submission demonstrates good understanding of Mobile App Developer workflows. Score: 92/100. Pass with distinction.</t>
        </is>
      </c>
      <c r="K69" s="3" t="n">
        <v>92</v>
      </c>
      <c r="L69" s="3" t="inlineStr">
        <is>
          <t>Approved</t>
        </is>
      </c>
      <c r="M69" s="3" t="inlineStr">
        <is>
          <t>Proceed to next module</t>
        </is>
      </c>
    </row>
    <row r="70">
      <c r="A70" s="2" t="inlineStr">
        <is>
          <t>STU-004</t>
        </is>
      </c>
      <c r="B70" s="2" t="inlineStr">
        <is>
          <t>TASK-DEVO-402</t>
        </is>
      </c>
      <c r="C70" s="2" t="n">
        <v>2</v>
      </c>
      <c r="D70" s="2" t="inlineStr">
        <is>
          <t>Completed initial implementation for Kubernetes Microservices Observability with Prometheus &amp; Grafana.</t>
        </is>
      </c>
      <c r="E70" s="2" t="inlineStr">
        <is>
          <t>K8s manifest hygiene (25 pts), Observability coverage (Golden signals) (35 pts), Alerting precision (20 pts), Chaos testing validation (20 pts).</t>
        </is>
      </c>
      <c r="F70" s="2" t="inlineStr">
        <is>
          <t>None critical</t>
        </is>
      </c>
      <c r="G70" s="2" t="inlineStr">
        <is>
          <t>None</t>
        </is>
      </c>
      <c r="H70" s="2" t="inlineStr">
        <is>
          <t>Modular structure, clean documentation, robust core logic implementation.</t>
        </is>
      </c>
      <c r="I70" s="2" t="inlineStr">
        <is>
          <t>Implement unit tests with Pytest, use environment variables for configs, and add Swagger API docstrings.</t>
        </is>
      </c>
      <c r="J70" s="2" t="inlineStr">
        <is>
          <t>The submission demonstrates good understanding of Cloud &amp; DevOps Engineer workflows. Score: 92/100. Pass with distinction.</t>
        </is>
      </c>
      <c r="K70" s="2" t="n">
        <v>92</v>
      </c>
      <c r="L70" s="2" t="inlineStr">
        <is>
          <t>Approved</t>
        </is>
      </c>
      <c r="M70" s="2" t="inlineStr">
        <is>
          <t>Proceed to next module</t>
        </is>
      </c>
    </row>
    <row r="71">
      <c r="A71" s="3" t="inlineStr">
        <is>
          <t>STU-003</t>
        </is>
      </c>
      <c r="B71" s="3" t="inlineStr">
        <is>
          <t>TASK-DATA-301</t>
        </is>
      </c>
      <c r="C71" s="3" t="n">
        <v>2</v>
      </c>
      <c r="D71" s="3" t="inlineStr">
        <is>
          <t>Completed initial implementation for Automated Multi-Source Retail Sales ETL &amp; KPI Dashboard.</t>
        </is>
      </c>
      <c r="E71" s="3" t="inlineStr">
        <is>
          <t>ETL robustness &amp; data hygiene (30 pts), Metric calculations (CLV, Cohorts) (30 pts), Visual layout &amp; interactivity (25 pts), Executive summary quality (15 pts).</t>
        </is>
      </c>
      <c r="F71" s="3" t="inlineStr">
        <is>
          <t>None critical</t>
        </is>
      </c>
      <c r="G71" s="3" t="inlineStr">
        <is>
          <t>None</t>
        </is>
      </c>
      <c r="H71" s="3" t="inlineStr">
        <is>
          <t>Modular structure, clean documentation, robust core logic implementation.</t>
        </is>
      </c>
      <c r="I71" s="3" t="inlineStr">
        <is>
          <t>Implement unit tests with Pytest, use environment variables for configs, and add Swagger API docstrings.</t>
        </is>
      </c>
      <c r="J71" s="3" t="inlineStr">
        <is>
          <t>The submission demonstrates good understanding of Data Analyst workflows. Score: 92/100. Pass with distinction.</t>
        </is>
      </c>
      <c r="K71" s="3" t="n">
        <v>92</v>
      </c>
      <c r="L71" s="3" t="inlineStr">
        <is>
          <t>Approved</t>
        </is>
      </c>
      <c r="M71" s="3" t="inlineStr">
        <is>
          <t>Proceed to next module</t>
        </is>
      </c>
    </row>
    <row r="72">
      <c r="A72" s="2" t="inlineStr">
        <is>
          <t>STU-002</t>
        </is>
      </c>
      <c r="B72" s="2" t="inlineStr">
        <is>
          <t>TASK-FSWD-202</t>
        </is>
      </c>
      <c r="C72" s="2" t="n">
        <v>2</v>
      </c>
      <c r="D72" s="2" t="inlineStr">
        <is>
          <t>Completed initial implementation for Real-Time Collaboration Kanban Board with WebSockets.</t>
        </is>
      </c>
      <c r="E72" s="2" t="inlineStr">
        <is>
          <t>WebSocket efficiency &amp; reconnect logic (30 pts), Drag-and-drop state sync (30 pts), Code structure &amp; modularity (20 pts), UI responsiveness (20 pts).</t>
        </is>
      </c>
      <c r="F72" s="2" t="inlineStr">
        <is>
          <t>None critical</t>
        </is>
      </c>
      <c r="G72" s="2" t="inlineStr">
        <is>
          <t>None</t>
        </is>
      </c>
      <c r="H72" s="2" t="inlineStr">
        <is>
          <t>Modular structure, clean documentation, robust core logic implementation.</t>
        </is>
      </c>
      <c r="I72" s="2" t="inlineStr">
        <is>
          <t>Implement unit tests with Pytest, use environment variables for configs, and add Swagger API docstrings.</t>
        </is>
      </c>
      <c r="J72" s="2" t="inlineStr">
        <is>
          <t>The submission demonstrates good understanding of Full Stack Web Developer workflows. Score: 92/100. Pass with distinction.</t>
        </is>
      </c>
      <c r="K72" s="2" t="n">
        <v>92</v>
      </c>
      <c r="L72" s="2" t="inlineStr">
        <is>
          <t>Approved</t>
        </is>
      </c>
      <c r="M72" s="2" t="inlineStr">
        <is>
          <t>Proceed to next module</t>
        </is>
      </c>
    </row>
    <row r="73">
      <c r="A73" s="3" t="inlineStr">
        <is>
          <t>STU-001</t>
        </is>
      </c>
      <c r="B73" s="3" t="inlineStr">
        <is>
          <t>TASK-AIML-101</t>
        </is>
      </c>
      <c r="C73" s="3" t="n">
        <v>2</v>
      </c>
      <c r="D73" s="3" t="inlineStr">
        <is>
          <t>Completed initial implementation for Customer Churn Prediction Pipeline with Scikit-Learn &amp; FastAPI.</t>
        </is>
      </c>
      <c r="E73" s="3" t="inlineStr">
        <is>
          <t>Data preprocessing (20 pts), Model tuning &amp; ROC-AUC &gt; 0.82 (30 pts), API design &amp; error handling (25 pts), Documentation &amp; Docker setup (25 pts).</t>
        </is>
      </c>
      <c r="F73" s="3" t="inlineStr">
        <is>
          <t>None critical</t>
        </is>
      </c>
      <c r="G73" s="3" t="inlineStr">
        <is>
          <t>None</t>
        </is>
      </c>
      <c r="H73" s="3" t="inlineStr">
        <is>
          <t>Modular structure, clean documentation, robust core logic implementation.</t>
        </is>
      </c>
      <c r="I73" s="3" t="inlineStr">
        <is>
          <t>Implement unit tests with Pytest, use environment variables for configs, and add Swagger API docstrings.</t>
        </is>
      </c>
      <c r="J73" s="3" t="inlineStr">
        <is>
          <t>The submission demonstrates good understanding of AI/ML Engineer workflows. Score: 92/100. Pass with distinction.</t>
        </is>
      </c>
      <c r="K73" s="3" t="n">
        <v>92</v>
      </c>
      <c r="L73" s="3" t="inlineStr">
        <is>
          <t>Approved</t>
        </is>
      </c>
      <c r="M73" s="3" t="inlineStr">
        <is>
          <t>Proceed to next module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75"/>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35" customWidth="1" min="3" max="3"/>
    <col width="30" customWidth="1" min="4" max="4"/>
    <col width="40" customWidth="1" min="5" max="5"/>
    <col width="22" customWidth="1" min="6" max="6"/>
    <col width="18" customWidth="1" min="7" max="7"/>
    <col width="40" customWidth="1" min="8" max="8"/>
    <col width="14" customWidth="1" min="9" max="9"/>
    <col width="21" customWidth="1" min="10" max="10"/>
  </cols>
  <sheetData>
    <row r="1" ht="26" customHeight="1">
      <c r="A1" s="1" t="inlineStr">
        <is>
          <t>Email ID</t>
        </is>
      </c>
      <c r="B1" s="1" t="inlineStr">
        <is>
          <t>Student ID</t>
        </is>
      </c>
      <c r="C1" s="1" t="inlineStr">
        <is>
          <t>Recipient Email</t>
        </is>
      </c>
      <c r="D1" s="1" t="inlineStr">
        <is>
          <t>Email Type</t>
        </is>
      </c>
      <c r="E1" s="1" t="inlineStr">
        <is>
          <t>Subject</t>
        </is>
      </c>
      <c r="F1" s="1" t="inlineStr">
        <is>
          <t>Sent Date and Time</t>
        </is>
      </c>
      <c r="G1" s="1" t="inlineStr">
        <is>
          <t>Delivery Status</t>
        </is>
      </c>
      <c r="H1" s="1" t="inlineStr">
        <is>
          <t>Error Message</t>
        </is>
      </c>
      <c r="I1" s="1" t="inlineStr">
        <is>
          <t>Retry Count</t>
        </is>
      </c>
      <c r="J1" s="1" t="inlineStr">
        <is>
          <t>Related Review ID</t>
        </is>
      </c>
    </row>
    <row r="2">
      <c r="A2" s="2" t="inlineStr">
        <is>
          <t>EML-8739324</t>
        </is>
      </c>
      <c r="B2" s="2" t="inlineStr">
        <is>
          <t>STU-E2E-TEST</t>
        </is>
      </c>
      <c r="C2" s="2" t="inlineStr">
        <is>
          <t>devon.cross@example-interns.edu</t>
        </is>
      </c>
      <c r="D2" s="2" t="inlineStr">
        <is>
          <t>Task Completed Notice</t>
        </is>
      </c>
      <c r="E2" s="2" t="inlineStr">
        <is>
          <t>[TASK-AIML-102] Evaluation Approved - Criteria Satisfied (92/100)</t>
        </is>
      </c>
      <c r="F2" s="2" t="inlineStr">
        <is>
          <t>2026-10-26 12:42:19</t>
        </is>
      </c>
      <c r="G2" s="2" t="inlineStr">
        <is>
          <t>Sent</t>
        </is>
      </c>
      <c r="H2" s="2" t="inlineStr"/>
      <c r="I2" s="2" t="n">
        <v>0</v>
      </c>
      <c r="J2" s="2" t="inlineStr"/>
    </row>
    <row r="3">
      <c r="A3" s="3" t="inlineStr">
        <is>
          <t>EML-8735346</t>
        </is>
      </c>
      <c r="B3" s="3" t="inlineStr">
        <is>
          <t>STU-E2E-TEST</t>
        </is>
      </c>
      <c r="C3" s="3" t="inlineStr">
        <is>
          <t>devon.cross@example-interns.edu</t>
        </is>
      </c>
      <c r="D3" s="3" t="inlineStr">
        <is>
          <t>Review Feedback Report</t>
        </is>
      </c>
      <c r="E3" s="3" t="inlineStr">
        <is>
          <t>[TASK-AIML-102] Review #2 Feedback &amp; Follow-up Session Scheduled</t>
        </is>
      </c>
      <c r="F3" s="3" t="inlineStr">
        <is>
          <t>2026-10-26 12:42:15</t>
        </is>
      </c>
      <c r="G3" s="3" t="inlineStr">
        <is>
          <t>Sent</t>
        </is>
      </c>
      <c r="H3" s="3" t="inlineStr"/>
      <c r="I3" s="3" t="n">
        <v>0</v>
      </c>
      <c r="J3" s="3" t="inlineStr">
        <is>
          <t>REV-STU-E2E-TEST-2</t>
        </is>
      </c>
    </row>
    <row r="4">
      <c r="A4" s="2" t="inlineStr">
        <is>
          <t>EML-8730395</t>
        </is>
      </c>
      <c r="B4" s="2" t="inlineStr">
        <is>
          <t>STU-E2E-TEST</t>
        </is>
      </c>
      <c r="C4" s="2" t="inlineStr">
        <is>
          <t>devon.cross@example-interns.edu</t>
        </is>
      </c>
      <c r="D4" s="2" t="inlineStr">
        <is>
          <t>Review Scheduled</t>
        </is>
      </c>
      <c r="E4" s="2" t="inlineStr">
        <is>
          <t>[TASK-AIML-102] Review #1 Confirmed for 2026-10-28</t>
        </is>
      </c>
      <c r="F4" s="2" t="inlineStr">
        <is>
          <t>2026-10-26 12:42:10</t>
        </is>
      </c>
      <c r="G4" s="2" t="inlineStr">
        <is>
          <t>Sent</t>
        </is>
      </c>
      <c r="H4" s="2" t="inlineStr"/>
      <c r="I4" s="2" t="n">
        <v>0</v>
      </c>
      <c r="J4" s="2" t="inlineStr">
        <is>
          <t>REV-STU-E2E-TEST-1</t>
        </is>
      </c>
    </row>
    <row r="5">
      <c r="A5" s="3" t="inlineStr">
        <is>
          <t>EML-8724438</t>
        </is>
      </c>
      <c r="B5" s="3" t="inlineStr">
        <is>
          <t>STU-E2E-TEST</t>
        </is>
      </c>
      <c r="C5" s="3" t="inlineStr">
        <is>
          <t>devon.cross@example-interns.edu</t>
        </is>
      </c>
      <c r="D5" s="3" t="inlineStr">
        <is>
          <t>Task Allocation</t>
        </is>
      </c>
      <c r="E5" s="3" t="inlineStr">
        <is>
          <t>[TASK-AIML-102] Official Internship Task Allocation &amp; Deliverables</t>
        </is>
      </c>
      <c r="F5" s="3" t="inlineStr">
        <is>
          <t>2026-10-26 12:42:04</t>
        </is>
      </c>
      <c r="G5" s="3" t="inlineStr">
        <is>
          <t>Sent</t>
        </is>
      </c>
      <c r="H5" s="3" t="inlineStr"/>
      <c r="I5" s="3" t="n">
        <v>0</v>
      </c>
      <c r="J5" s="3" t="inlineStr"/>
    </row>
    <row r="6">
      <c r="A6" s="2" t="inlineStr">
        <is>
          <t>EML-8649703</t>
        </is>
      </c>
      <c r="B6" s="2" t="inlineStr">
        <is>
          <t>STU-001</t>
        </is>
      </c>
      <c r="C6" s="2" t="inlineStr">
        <is>
          <t>kasthurikumar1105@gmail.com</t>
        </is>
      </c>
      <c r="D6" s="2" t="inlineStr">
        <is>
          <t>Direct Notification</t>
        </is>
      </c>
      <c r="E6" s="2" t="inlineStr">
        <is>
          <t>[TEST] AI Internship System Verification</t>
        </is>
      </c>
      <c r="F6" s="2" t="inlineStr">
        <is>
          <t>2026-10-26 12:40:49</t>
        </is>
      </c>
      <c r="G6" s="2" t="inlineStr">
        <is>
          <t>Sent</t>
        </is>
      </c>
      <c r="H6" s="2" t="inlineStr"/>
      <c r="I6" s="2" t="n">
        <v>0</v>
      </c>
      <c r="J6" s="2" t="inlineStr"/>
    </row>
    <row r="7">
      <c r="A7" s="3" t="inlineStr">
        <is>
          <t>EML-8439480</t>
        </is>
      </c>
      <c r="B7" s="3" t="inlineStr">
        <is>
          <t>STU-001</t>
        </is>
      </c>
      <c r="C7" s="3" t="inlineStr">
        <is>
          <t>kasthurikumar1105@gmail.com</t>
        </is>
      </c>
      <c r="D7" s="3" t="inlineStr">
        <is>
          <t>Direct Notification</t>
        </is>
      </c>
      <c r="E7" s="3" t="inlineStr">
        <is>
          <t>[LIVE] AI Internship Task Allocation &amp; Review Notification</t>
        </is>
      </c>
      <c r="F7" s="3" t="inlineStr">
        <is>
          <t>2026-10-26 12:37:19</t>
        </is>
      </c>
      <c r="G7" s="3" t="inlineStr">
        <is>
          <t>Failed</t>
        </is>
      </c>
      <c r="H7" s="3" t="inlineStr">
        <is>
          <t>Connection unexpectedly closed</t>
        </is>
      </c>
      <c r="I7" s="3" t="n">
        <v>3</v>
      </c>
      <c r="J7" s="3" t="inlineStr"/>
    </row>
    <row r="8">
      <c r="A8" s="2" t="inlineStr">
        <is>
          <t>EML-8328842</t>
        </is>
      </c>
      <c r="B8" s="2" t="inlineStr">
        <is>
          <t>STU-001</t>
        </is>
      </c>
      <c r="C8" s="2" t="inlineStr">
        <is>
          <t>kasthurikumar1105@gmail.com</t>
        </is>
      </c>
      <c r="D8" s="2" t="inlineStr">
        <is>
          <t>Direct Notification</t>
        </is>
      </c>
      <c r="E8" s="2" t="inlineStr">
        <is>
          <t>[TEST] AI Internship System Verification</t>
        </is>
      </c>
      <c r="F8" s="2" t="inlineStr">
        <is>
          <t>2026-10-26 12:35:28</t>
        </is>
      </c>
      <c r="G8" s="2" t="inlineStr">
        <is>
          <t>Failed</t>
        </is>
      </c>
      <c r="H8" s="2" t="inlineStr">
        <is>
          <t>Connection unexpectedly closed</t>
        </is>
      </c>
      <c r="I8" s="2" t="n">
        <v>3</v>
      </c>
      <c r="J8" s="2" t="inlineStr"/>
    </row>
    <row r="9">
      <c r="A9" s="3" t="inlineStr">
        <is>
          <t>EML-8080140</t>
        </is>
      </c>
      <c r="B9" s="3" t="inlineStr">
        <is>
          <t>STU-001</t>
        </is>
      </c>
      <c r="C9" s="3" t="inlineStr">
        <is>
          <t>kasthurikumar1105@gmail.com</t>
        </is>
      </c>
      <c r="D9" s="3" t="inlineStr">
        <is>
          <t>Direct Notification</t>
        </is>
      </c>
      <c r="E9" s="3" t="inlineStr">
        <is>
          <t>[TEST] AI Internship System Verification</t>
        </is>
      </c>
      <c r="F9" s="3" t="inlineStr">
        <is>
          <t>2026-10-26 12:31:20</t>
        </is>
      </c>
      <c r="G9" s="3" t="inlineStr">
        <is>
          <t>Failed</t>
        </is>
      </c>
      <c r="H9" s="3" t="inlineStr">
        <is>
          <t>Connection unexpectedly closed</t>
        </is>
      </c>
      <c r="I9" s="3" t="n">
        <v>3</v>
      </c>
      <c r="J9" s="3" t="inlineStr"/>
    </row>
    <row r="10">
      <c r="A10" s="2" t="inlineStr">
        <is>
          <t>EML-7389704</t>
        </is>
      </c>
      <c r="B10" s="2" t="inlineStr">
        <is>
          <t>STU-001</t>
        </is>
      </c>
      <c r="C10" s="2" t="inlineStr">
        <is>
          <t>kasthurikumar1105@gmail.com</t>
        </is>
      </c>
      <c r="D10" s="2" t="inlineStr">
        <is>
          <t>Direct Notification</t>
        </is>
      </c>
      <c r="E10" s="2" t="inlineStr">
        <is>
          <t>[TEST] AI Internship System Verification</t>
        </is>
      </c>
      <c r="F10" s="2" t="inlineStr">
        <is>
          <t>2026-10-26 12:19:49</t>
        </is>
      </c>
      <c r="G10" s="2" t="inlineStr">
        <is>
          <t>Failed</t>
        </is>
      </c>
      <c r="H10" s="2" t="inlineStr">
        <is>
          <t>[SSL: UNEXPECTED_EOF_WHILE_READING] EOF occurred in violation of protocol (_ssl.c:1028)</t>
        </is>
      </c>
      <c r="I10" s="2" t="n">
        <v>3</v>
      </c>
      <c r="J10" s="2" t="inlineStr"/>
    </row>
    <row r="11">
      <c r="A11" s="3" t="inlineStr">
        <is>
          <t>EML-7245058</t>
        </is>
      </c>
      <c r="B11" s="3" t="inlineStr">
        <is>
          <t>STU-001</t>
        </is>
      </c>
      <c r="C11" s="3" t="inlineStr">
        <is>
          <t>kasthurikumar1105@gmail.com</t>
        </is>
      </c>
      <c r="D11" s="3" t="inlineStr">
        <is>
          <t>Direct Notification</t>
        </is>
      </c>
      <c r="E11" s="3" t="inlineStr">
        <is>
          <t>[TEST] AI Internship System Verification</t>
        </is>
      </c>
      <c r="F11" s="3" t="inlineStr">
        <is>
          <t>2026-10-26 12:17:25</t>
        </is>
      </c>
      <c r="G11" s="3" t="inlineStr">
        <is>
          <t>Mock Delivered</t>
        </is>
      </c>
      <c r="H11" s="3" t="inlineStr"/>
      <c r="I11" s="3" t="n">
        <v>0</v>
      </c>
      <c r="J11" s="3" t="inlineStr"/>
    </row>
    <row r="12">
      <c r="A12" s="2" t="inlineStr">
        <is>
          <t>EML-7087180</t>
        </is>
      </c>
      <c r="B12" s="2" t="inlineStr">
        <is>
          <t>STU-095</t>
        </is>
      </c>
      <c r="C12" s="2" t="inlineStr">
        <is>
          <t>student095@example-interns.edu</t>
        </is>
      </c>
      <c r="D12" s="2" t="inlineStr">
        <is>
          <t>Task Allocation</t>
        </is>
      </c>
      <c r="E12" s="2" t="inlineStr">
        <is>
          <t>[TASK-MOBL-501] Official Internship Task Allocation &amp; Deliverables</t>
        </is>
      </c>
      <c r="F12" s="2" t="inlineStr">
        <is>
          <t>2026-10-26 12:14:47</t>
        </is>
      </c>
      <c r="G12" s="2" t="inlineStr">
        <is>
          <t>Mock Delivered</t>
        </is>
      </c>
      <c r="H12" s="2" t="inlineStr"/>
      <c r="I12" s="2" t="n">
        <v>0</v>
      </c>
      <c r="J12" s="2" t="inlineStr"/>
    </row>
    <row r="13">
      <c r="A13" s="3" t="inlineStr">
        <is>
          <t>EML-7087210</t>
        </is>
      </c>
      <c r="B13" s="3" t="inlineStr">
        <is>
          <t>TEST-001</t>
        </is>
      </c>
      <c r="C13" s="3" t="inlineStr">
        <is>
          <t>test.student@example-interns.edu</t>
        </is>
      </c>
      <c r="D13" s="3" t="inlineStr">
        <is>
          <t>Unit Test Allocation</t>
        </is>
      </c>
      <c r="E13" s="3" t="inlineStr">
        <is>
          <t>[Test] Task Allocation</t>
        </is>
      </c>
      <c r="F13" s="3" t="inlineStr">
        <is>
          <t>2026-10-26 12:14:47</t>
        </is>
      </c>
      <c r="G13" s="3" t="inlineStr">
        <is>
          <t>Mock Delivered</t>
        </is>
      </c>
      <c r="H13" s="3" t="inlineStr"/>
      <c r="I13" s="3" t="n">
        <v>0</v>
      </c>
      <c r="J13" s="3" t="inlineStr"/>
    </row>
    <row r="14">
      <c r="A14" s="2" t="inlineStr">
        <is>
          <t>EML-7048176</t>
        </is>
      </c>
      <c r="B14" s="2" t="inlineStr">
        <is>
          <t>STU-001</t>
        </is>
      </c>
      <c r="C14" s="2" t="inlineStr">
        <is>
          <t>kasthurikumar1105@gmail.com</t>
        </is>
      </c>
      <c r="D14" s="2" t="inlineStr">
        <is>
          <t>Direct Notification</t>
        </is>
      </c>
      <c r="E14" s="2" t="inlineStr">
        <is>
          <t>[TEST] AI Internship System Verification</t>
        </is>
      </c>
      <c r="F14" s="2" t="inlineStr">
        <is>
          <t>2026-10-26 12:14:08</t>
        </is>
      </c>
      <c r="G14" s="2" t="inlineStr">
        <is>
          <t>Mock Delivered</t>
        </is>
      </c>
      <c r="H14" s="2" t="inlineStr"/>
      <c r="I14" s="2" t="n">
        <v>0</v>
      </c>
      <c r="J14" s="2" t="inlineStr"/>
    </row>
    <row r="15">
      <c r="A15" s="3" t="inlineStr">
        <is>
          <t>EML-6737171</t>
        </is>
      </c>
      <c r="B15" s="3" t="inlineStr">
        <is>
          <t>STU-001</t>
        </is>
      </c>
      <c r="C15" s="3" t="inlineStr">
        <is>
          <t>kasthurikumar1105@gmail.com</t>
        </is>
      </c>
      <c r="D15" s="3" t="inlineStr">
        <is>
          <t>Direct Notification</t>
        </is>
      </c>
      <c r="E15" s="3" t="inlineStr">
        <is>
          <t>[TEST] AI Internship System Verification</t>
        </is>
      </c>
      <c r="F15" s="3" t="inlineStr">
        <is>
          <t>2026-10-26 12:08:57</t>
        </is>
      </c>
      <c r="G15" s="3" t="inlineStr">
        <is>
          <t>Mock Delivered</t>
        </is>
      </c>
      <c r="H15" s="3" t="inlineStr"/>
      <c r="I15" s="3" t="n">
        <v>0</v>
      </c>
      <c r="J15" s="3" t="inlineStr"/>
    </row>
    <row r="16">
      <c r="A16" s="2" t="inlineStr">
        <is>
          <t>EML-6048181</t>
        </is>
      </c>
      <c r="B16" s="2" t="inlineStr">
        <is>
          <t>STU-095</t>
        </is>
      </c>
      <c r="C16" s="2" t="inlineStr">
        <is>
          <t>student095@example-interns.edu</t>
        </is>
      </c>
      <c r="D16" s="2" t="inlineStr">
        <is>
          <t>Task Allocation</t>
        </is>
      </c>
      <c r="E16" s="2" t="inlineStr">
        <is>
          <t>[TASK-MOBL-501] Official Internship Task Allocation &amp; Deliverables</t>
        </is>
      </c>
      <c r="F16" s="2" t="inlineStr">
        <is>
          <t>2026-10-26 11:57:28</t>
        </is>
      </c>
      <c r="G16" s="2" t="inlineStr">
        <is>
          <t>Mock Delivered</t>
        </is>
      </c>
      <c r="H16" s="2" t="inlineStr"/>
      <c r="I16" s="2" t="n">
        <v>0</v>
      </c>
      <c r="J16" s="2" t="inlineStr"/>
    </row>
    <row r="17">
      <c r="A17" s="3" t="inlineStr">
        <is>
          <t>EML-6048222</t>
        </is>
      </c>
      <c r="B17" s="3" t="inlineStr">
        <is>
          <t>TEST-001</t>
        </is>
      </c>
      <c r="C17" s="3" t="inlineStr">
        <is>
          <t>test.student@example-interns.edu</t>
        </is>
      </c>
      <c r="D17" s="3" t="inlineStr">
        <is>
          <t>Unit Test Allocation</t>
        </is>
      </c>
      <c r="E17" s="3" t="inlineStr">
        <is>
          <t>[Test] Task Allocation</t>
        </is>
      </c>
      <c r="F17" s="3" t="inlineStr">
        <is>
          <t>2026-10-26 11:57:28</t>
        </is>
      </c>
      <c r="G17" s="3" t="inlineStr">
        <is>
          <t>Mock Delivered</t>
        </is>
      </c>
      <c r="H17" s="3" t="inlineStr"/>
      <c r="I17" s="3" t="n">
        <v>0</v>
      </c>
      <c r="J17" s="3" t="inlineStr"/>
    </row>
    <row r="18">
      <c r="A18" s="2" t="inlineStr">
        <is>
          <t>EML-5810522</t>
        </is>
      </c>
      <c r="B18" s="2" t="inlineStr">
        <is>
          <t>STU-095</t>
        </is>
      </c>
      <c r="C18" s="2" t="inlineStr">
        <is>
          <t>student095@example-interns.edu</t>
        </is>
      </c>
      <c r="D18" s="2" t="inlineStr">
        <is>
          <t>Task Allocation</t>
        </is>
      </c>
      <c r="E18" s="2" t="inlineStr">
        <is>
          <t>[TASK-MOBL-501] Official Internship Task Allocation &amp; Deliverables</t>
        </is>
      </c>
      <c r="F18" s="2" t="inlineStr">
        <is>
          <t>2026-10-26 11:53:30</t>
        </is>
      </c>
      <c r="G18" s="2" t="inlineStr">
        <is>
          <t>Mock Delivered</t>
        </is>
      </c>
      <c r="H18" s="2" t="inlineStr"/>
      <c r="I18" s="2" t="n">
        <v>0</v>
      </c>
      <c r="J18" s="2" t="inlineStr"/>
    </row>
    <row r="19">
      <c r="A19" s="3" t="inlineStr">
        <is>
          <t>EML-5810537</t>
        </is>
      </c>
      <c r="B19" s="3" t="inlineStr">
        <is>
          <t>TEST-001</t>
        </is>
      </c>
      <c r="C19" s="3" t="inlineStr">
        <is>
          <t>test.student@example-interns.edu</t>
        </is>
      </c>
      <c r="D19" s="3" t="inlineStr">
        <is>
          <t>Unit Test Allocation</t>
        </is>
      </c>
      <c r="E19" s="3" t="inlineStr">
        <is>
          <t>[Test] Task Allocation</t>
        </is>
      </c>
      <c r="F19" s="3" t="inlineStr">
        <is>
          <t>2026-10-26 11:53:30</t>
        </is>
      </c>
      <c r="G19" s="3" t="inlineStr">
        <is>
          <t>Mock Delivered</t>
        </is>
      </c>
      <c r="H19" s="3" t="inlineStr"/>
      <c r="I19" s="3" t="n">
        <v>0</v>
      </c>
      <c r="J19" s="3" t="inlineStr"/>
    </row>
    <row r="20">
      <c r="A20" s="2" t="inlineStr">
        <is>
          <t>EML-5003041</t>
        </is>
      </c>
      <c r="B20" s="2" t="inlineStr">
        <is>
          <t>STU-095</t>
        </is>
      </c>
      <c r="C20" s="2" t="inlineStr">
        <is>
          <t>student095@example-interns.edu</t>
        </is>
      </c>
      <c r="D20" s="2" t="inlineStr">
        <is>
          <t>Task Allocation</t>
        </is>
      </c>
      <c r="E20" s="2" t="inlineStr">
        <is>
          <t>[TASK-MOBL-501] Official Internship Task Allocation &amp; Deliverables</t>
        </is>
      </c>
      <c r="F20" s="2" t="inlineStr">
        <is>
          <t>2026-10-26 11:40:03</t>
        </is>
      </c>
      <c r="G20" s="2" t="inlineStr">
        <is>
          <t>Mock Delivered</t>
        </is>
      </c>
      <c r="H20" s="2" t="inlineStr"/>
      <c r="I20" s="2" t="n">
        <v>0</v>
      </c>
      <c r="J20" s="2" t="inlineStr"/>
    </row>
    <row r="21">
      <c r="A21" s="3" t="inlineStr">
        <is>
          <t>EML-5003058</t>
        </is>
      </c>
      <c r="B21" s="3" t="inlineStr">
        <is>
          <t>TEST-001</t>
        </is>
      </c>
      <c r="C21" s="3" t="inlineStr">
        <is>
          <t>test.student@example-interns.edu</t>
        </is>
      </c>
      <c r="D21" s="3" t="inlineStr">
        <is>
          <t>Unit Test Allocation</t>
        </is>
      </c>
      <c r="E21" s="3" t="inlineStr">
        <is>
          <t>[Test] Task Allocation</t>
        </is>
      </c>
      <c r="F21" s="3" t="inlineStr">
        <is>
          <t>2026-10-26 11:40:03</t>
        </is>
      </c>
      <c r="G21" s="3" t="inlineStr">
        <is>
          <t>Mock Delivered</t>
        </is>
      </c>
      <c r="H21" s="3" t="inlineStr"/>
      <c r="I21" s="3" t="n">
        <v>0</v>
      </c>
      <c r="J21" s="3" t="inlineStr"/>
    </row>
    <row r="22">
      <c r="A22" s="2" t="inlineStr">
        <is>
          <t>EML-4717898</t>
        </is>
      </c>
      <c r="B22" s="2" t="inlineStr">
        <is>
          <t>STU-095</t>
        </is>
      </c>
      <c r="C22" s="2" t="inlineStr">
        <is>
          <t>student095@example-interns.edu</t>
        </is>
      </c>
      <c r="D22" s="2" t="inlineStr">
        <is>
          <t>Task Allocation</t>
        </is>
      </c>
      <c r="E22" s="2" t="inlineStr">
        <is>
          <t>[TASK-MOBL-501] Official Internship Task Allocation &amp; Deliverables</t>
        </is>
      </c>
      <c r="F22" s="2" t="inlineStr">
        <is>
          <t>2026-10-26 11:35:17</t>
        </is>
      </c>
      <c r="G22" s="2" t="inlineStr">
        <is>
          <t>Mock Delivered</t>
        </is>
      </c>
      <c r="H22" s="2" t="inlineStr"/>
      <c r="I22" s="2" t="n">
        <v>0</v>
      </c>
      <c r="J22" s="2" t="inlineStr"/>
    </row>
    <row r="23">
      <c r="A23" s="3" t="inlineStr">
        <is>
          <t>EML-4717917</t>
        </is>
      </c>
      <c r="B23" s="3" t="inlineStr">
        <is>
          <t>TEST-001</t>
        </is>
      </c>
      <c r="C23" s="3" t="inlineStr">
        <is>
          <t>test.student@example-interns.edu</t>
        </is>
      </c>
      <c r="D23" s="3" t="inlineStr">
        <is>
          <t>Unit Test Allocation</t>
        </is>
      </c>
      <c r="E23" s="3" t="inlineStr">
        <is>
          <t>[Test] Task Allocation</t>
        </is>
      </c>
      <c r="F23" s="3" t="inlineStr">
        <is>
          <t>2026-10-26 11:35:17</t>
        </is>
      </c>
      <c r="G23" s="3" t="inlineStr">
        <is>
          <t>Mock Delivered</t>
        </is>
      </c>
      <c r="H23" s="3" t="inlineStr"/>
      <c r="I23" s="3" t="n">
        <v>0</v>
      </c>
      <c r="J23" s="3" t="inlineStr"/>
    </row>
    <row r="24">
      <c r="A24" s="2" t="inlineStr">
        <is>
          <t>EML-4665002</t>
        </is>
      </c>
      <c r="B24" s="2" t="inlineStr">
        <is>
          <t>STU-091</t>
        </is>
      </c>
      <c r="C24" s="2" t="inlineStr">
        <is>
          <t>student091@example-interns.edu</t>
        </is>
      </c>
      <c r="D24" s="2" t="inlineStr">
        <is>
          <t>Overdue Notification</t>
        </is>
      </c>
      <c r="E24" s="2" t="inlineStr">
        <is>
          <t>[OVERDUE] Immediate Action Required: TASK-AIML-101</t>
        </is>
      </c>
      <c r="F24" s="2" t="inlineStr">
        <is>
          <t>2026-10-26 11:34:25</t>
        </is>
      </c>
      <c r="G24" s="2" t="inlineStr">
        <is>
          <t>Mock Delivered</t>
        </is>
      </c>
      <c r="H24" s="2" t="inlineStr"/>
      <c r="I24" s="2" t="n">
        <v>0</v>
      </c>
      <c r="J24" s="2" t="inlineStr"/>
    </row>
    <row r="25">
      <c r="A25" s="3" t="inlineStr">
        <is>
          <t>EML-4665039</t>
        </is>
      </c>
      <c r="B25" s="3" t="inlineStr">
        <is>
          <t>STU-092</t>
        </is>
      </c>
      <c r="C25" s="3" t="inlineStr">
        <is>
          <t>student092@example-interns.edu</t>
        </is>
      </c>
      <c r="D25" s="3" t="inlineStr">
        <is>
          <t>Overdue Notification</t>
        </is>
      </c>
      <c r="E25" s="3" t="inlineStr">
        <is>
          <t>[OVERDUE] Immediate Action Required: TASK-FSWD-202</t>
        </is>
      </c>
      <c r="F25" s="3" t="inlineStr">
        <is>
          <t>2026-10-26 11:34:25</t>
        </is>
      </c>
      <c r="G25" s="3" t="inlineStr">
        <is>
          <t>Mock Delivered</t>
        </is>
      </c>
      <c r="H25" s="3" t="inlineStr"/>
      <c r="I25" s="3" t="n">
        <v>0</v>
      </c>
      <c r="J25" s="3" t="inlineStr"/>
    </row>
    <row r="26">
      <c r="A26" s="2" t="inlineStr">
        <is>
          <t>EML-4665073</t>
        </is>
      </c>
      <c r="B26" s="2" t="inlineStr">
        <is>
          <t>STU-093</t>
        </is>
      </c>
      <c r="C26" s="2" t="inlineStr">
        <is>
          <t>student093@example-interns.edu</t>
        </is>
      </c>
      <c r="D26" s="2" t="inlineStr">
        <is>
          <t>Overdue Notification</t>
        </is>
      </c>
      <c r="E26" s="2" t="inlineStr">
        <is>
          <t>[OVERDUE] Immediate Action Required: TASK-DATA-301</t>
        </is>
      </c>
      <c r="F26" s="2" t="inlineStr">
        <is>
          <t>2026-10-26 11:34:25</t>
        </is>
      </c>
      <c r="G26" s="2" t="inlineStr">
        <is>
          <t>Mock Delivered</t>
        </is>
      </c>
      <c r="H26" s="2" t="inlineStr"/>
      <c r="I26" s="2" t="n">
        <v>0</v>
      </c>
      <c r="J26" s="2" t="inlineStr"/>
    </row>
    <row r="27">
      <c r="A27" s="3" t="inlineStr">
        <is>
          <t>EML-4665106</t>
        </is>
      </c>
      <c r="B27" s="3" t="inlineStr">
        <is>
          <t>STU-094</t>
        </is>
      </c>
      <c r="C27" s="3" t="inlineStr">
        <is>
          <t>student094@example-interns.edu</t>
        </is>
      </c>
      <c r="D27" s="3" t="inlineStr">
        <is>
          <t>Overdue Notification</t>
        </is>
      </c>
      <c r="E27" s="3" t="inlineStr">
        <is>
          <t>[OVERDUE] Immediate Action Required: TASK-DEVO-402</t>
        </is>
      </c>
      <c r="F27" s="3" t="inlineStr">
        <is>
          <t>2026-10-26 11:34:25</t>
        </is>
      </c>
      <c r="G27" s="3" t="inlineStr">
        <is>
          <t>Mock Delivered</t>
        </is>
      </c>
      <c r="H27" s="3" t="inlineStr"/>
      <c r="I27" s="3" t="n">
        <v>0</v>
      </c>
      <c r="J27" s="3" t="inlineStr"/>
    </row>
    <row r="28">
      <c r="A28" s="2" t="inlineStr">
        <is>
          <t>EML-4665145</t>
        </is>
      </c>
      <c r="B28" s="2" t="inlineStr">
        <is>
          <t>STU-096</t>
        </is>
      </c>
      <c r="C28" s="2" t="inlineStr">
        <is>
          <t>student096@example-interns.edu</t>
        </is>
      </c>
      <c r="D28" s="2" t="inlineStr">
        <is>
          <t>Overdue Notification</t>
        </is>
      </c>
      <c r="E28" s="2" t="inlineStr">
        <is>
          <t>[OVERDUE] Immediate Action Required: TASK-CYBR-602</t>
        </is>
      </c>
      <c r="F28" s="2" t="inlineStr">
        <is>
          <t>2026-10-26 11:34:25</t>
        </is>
      </c>
      <c r="G28" s="2" t="inlineStr">
        <is>
          <t>Mock Delivered</t>
        </is>
      </c>
      <c r="H28" s="2" t="inlineStr"/>
      <c r="I28" s="2" t="n">
        <v>0</v>
      </c>
      <c r="J28" s="2" t="inlineStr"/>
    </row>
    <row r="29">
      <c r="A29" s="3" t="inlineStr">
        <is>
          <t>EML-4665182</t>
        </is>
      </c>
      <c r="B29" s="3" t="inlineStr">
        <is>
          <t>STU-097</t>
        </is>
      </c>
      <c r="C29" s="3" t="inlineStr">
        <is>
          <t>student097@example-interns.edu</t>
        </is>
      </c>
      <c r="D29" s="3" t="inlineStr">
        <is>
          <t>Overdue Notification</t>
        </is>
      </c>
      <c r="E29" s="3" t="inlineStr">
        <is>
          <t>[OVERDUE] Immediate Action Required: TASK-AIML-101</t>
        </is>
      </c>
      <c r="F29" s="3" t="inlineStr">
        <is>
          <t>2026-10-26 11:34:25</t>
        </is>
      </c>
      <c r="G29" s="3" t="inlineStr">
        <is>
          <t>Mock Delivered</t>
        </is>
      </c>
      <c r="H29" s="3" t="inlineStr"/>
      <c r="I29" s="3" t="n">
        <v>0</v>
      </c>
      <c r="J29" s="3" t="inlineStr"/>
    </row>
    <row r="30">
      <c r="A30" s="2" t="inlineStr">
        <is>
          <t>EML-4665205</t>
        </is>
      </c>
      <c r="B30" s="2" t="inlineStr">
        <is>
          <t>STU-098</t>
        </is>
      </c>
      <c r="C30" s="2" t="inlineStr">
        <is>
          <t>student098@example-interns.edu</t>
        </is>
      </c>
      <c r="D30" s="2" t="inlineStr">
        <is>
          <t>Overdue Notification</t>
        </is>
      </c>
      <c r="E30" s="2" t="inlineStr">
        <is>
          <t>[OVERDUE] Immediate Action Required: TASK-FSWD-202</t>
        </is>
      </c>
      <c r="F30" s="2" t="inlineStr">
        <is>
          <t>2026-10-26 11:34:25</t>
        </is>
      </c>
      <c r="G30" s="2" t="inlineStr">
        <is>
          <t>Mock Delivered</t>
        </is>
      </c>
      <c r="H30" s="2" t="inlineStr"/>
      <c r="I30" s="2" t="n">
        <v>0</v>
      </c>
      <c r="J30" s="2" t="inlineStr"/>
    </row>
    <row r="31">
      <c r="A31" s="3" t="inlineStr">
        <is>
          <t>EML-4665236</t>
        </is>
      </c>
      <c r="B31" s="3" t="inlineStr">
        <is>
          <t>STU-099</t>
        </is>
      </c>
      <c r="C31" s="3" t="inlineStr">
        <is>
          <t>student099@example-interns.edu</t>
        </is>
      </c>
      <c r="D31" s="3" t="inlineStr">
        <is>
          <t>Overdue Notification</t>
        </is>
      </c>
      <c r="E31" s="3" t="inlineStr">
        <is>
          <t>[OVERDUE] Immediate Action Required: TASK-DATA-301</t>
        </is>
      </c>
      <c r="F31" s="3" t="inlineStr">
        <is>
          <t>2026-10-26 11:34:25</t>
        </is>
      </c>
      <c r="G31" s="3" t="inlineStr">
        <is>
          <t>Mock Delivered</t>
        </is>
      </c>
      <c r="H31" s="3" t="inlineStr"/>
      <c r="I31" s="3" t="n">
        <v>0</v>
      </c>
      <c r="J31" s="3" t="inlineStr"/>
    </row>
    <row r="32">
      <c r="A32" s="2" t="inlineStr">
        <is>
          <t>EML-4665262</t>
        </is>
      </c>
      <c r="B32" s="2" t="inlineStr">
        <is>
          <t>STU-100</t>
        </is>
      </c>
      <c r="C32" s="2" t="inlineStr">
        <is>
          <t>student100@example-interns.edu</t>
        </is>
      </c>
      <c r="D32" s="2" t="inlineStr">
        <is>
          <t>Overdue Notification</t>
        </is>
      </c>
      <c r="E32" s="2" t="inlineStr">
        <is>
          <t>[OVERDUE] Immediate Action Required: TASK-DEVO-402</t>
        </is>
      </c>
      <c r="F32" s="2" t="inlineStr">
        <is>
          <t>2026-10-26 11:34:25</t>
        </is>
      </c>
      <c r="G32" s="2" t="inlineStr">
        <is>
          <t>Mock Delivered</t>
        </is>
      </c>
      <c r="H32" s="2" t="inlineStr"/>
      <c r="I32" s="2" t="n">
        <v>0</v>
      </c>
      <c r="J32" s="2" t="inlineStr"/>
    </row>
    <row r="33">
      <c r="A33" s="3" t="inlineStr">
        <is>
          <t>EML-4664000</t>
        </is>
      </c>
      <c r="B33" s="3" t="inlineStr">
        <is>
          <t>STU-026</t>
        </is>
      </c>
      <c r="C33" s="3" t="inlineStr">
        <is>
          <t>student026@example-interns.edu</t>
        </is>
      </c>
      <c r="D33" s="3" t="inlineStr">
        <is>
          <t>Review Reminder 24H</t>
        </is>
      </c>
      <c r="E33" s="3" t="inlineStr">
        <is>
          <t>[Reminder] Review #2 is Tomorrow (2026-10-27)</t>
        </is>
      </c>
      <c r="F33" s="3" t="inlineStr">
        <is>
          <t>2026-10-26 11:34:24</t>
        </is>
      </c>
      <c r="G33" s="3" t="inlineStr">
        <is>
          <t>Mock Delivered</t>
        </is>
      </c>
      <c r="H33" s="3" t="inlineStr"/>
      <c r="I33" s="3" t="n">
        <v>0</v>
      </c>
      <c r="J33" s="3" t="inlineStr">
        <is>
          <t>REV-STU-026-2</t>
        </is>
      </c>
    </row>
    <row r="34">
      <c r="A34" s="2" t="inlineStr">
        <is>
          <t>EML-4664036</t>
        </is>
      </c>
      <c r="B34" s="2" t="inlineStr">
        <is>
          <t>STU-027</t>
        </is>
      </c>
      <c r="C34" s="2" t="inlineStr">
        <is>
          <t>student027@example-interns.edu</t>
        </is>
      </c>
      <c r="D34" s="2" t="inlineStr">
        <is>
          <t>Review Reminder 24H</t>
        </is>
      </c>
      <c r="E34" s="2" t="inlineStr">
        <is>
          <t>[Reminder] Review #2 is Tomorrow (2026-10-27)</t>
        </is>
      </c>
      <c r="F34" s="2" t="inlineStr">
        <is>
          <t>2026-10-26 11:34:24</t>
        </is>
      </c>
      <c r="G34" s="2" t="inlineStr">
        <is>
          <t>Mock Delivered</t>
        </is>
      </c>
      <c r="H34" s="2" t="inlineStr"/>
      <c r="I34" s="2" t="n">
        <v>0</v>
      </c>
      <c r="J34" s="2" t="inlineStr">
        <is>
          <t>REV-STU-027-2</t>
        </is>
      </c>
    </row>
    <row r="35">
      <c r="A35" s="3" t="inlineStr">
        <is>
          <t>EML-4664067</t>
        </is>
      </c>
      <c r="B35" s="3" t="inlineStr">
        <is>
          <t>STU-028</t>
        </is>
      </c>
      <c r="C35" s="3" t="inlineStr">
        <is>
          <t>student028@example-interns.edu</t>
        </is>
      </c>
      <c r="D35" s="3" t="inlineStr">
        <is>
          <t>Review Reminder 24H</t>
        </is>
      </c>
      <c r="E35" s="3" t="inlineStr">
        <is>
          <t>[Reminder] Review #2 is Tomorrow (2026-10-27)</t>
        </is>
      </c>
      <c r="F35" s="3" t="inlineStr">
        <is>
          <t>2026-10-26 11:34:24</t>
        </is>
      </c>
      <c r="G35" s="3" t="inlineStr">
        <is>
          <t>Mock Delivered</t>
        </is>
      </c>
      <c r="H35" s="3" t="inlineStr"/>
      <c r="I35" s="3" t="n">
        <v>0</v>
      </c>
      <c r="J35" s="3" t="inlineStr">
        <is>
          <t>REV-STU-028-2</t>
        </is>
      </c>
    </row>
    <row r="36">
      <c r="A36" s="2" t="inlineStr">
        <is>
          <t>EML-4664104</t>
        </is>
      </c>
      <c r="B36" s="2" t="inlineStr">
        <is>
          <t>STU-029</t>
        </is>
      </c>
      <c r="C36" s="2" t="inlineStr">
        <is>
          <t>student029@example-interns.edu</t>
        </is>
      </c>
      <c r="D36" s="2" t="inlineStr">
        <is>
          <t>Review Reminder 24H</t>
        </is>
      </c>
      <c r="E36" s="2" t="inlineStr">
        <is>
          <t>[Reminder] Review #2 is Tomorrow (2026-10-27)</t>
        </is>
      </c>
      <c r="F36" s="2" t="inlineStr">
        <is>
          <t>2026-10-26 11:34:24</t>
        </is>
      </c>
      <c r="G36" s="2" t="inlineStr">
        <is>
          <t>Mock Delivered</t>
        </is>
      </c>
      <c r="H36" s="2" t="inlineStr"/>
      <c r="I36" s="2" t="n">
        <v>0</v>
      </c>
      <c r="J36" s="2" t="inlineStr">
        <is>
          <t>REV-STU-029-2</t>
        </is>
      </c>
    </row>
    <row r="37">
      <c r="A37" s="3" t="inlineStr">
        <is>
          <t>EML-4664145</t>
        </is>
      </c>
      <c r="B37" s="3" t="inlineStr">
        <is>
          <t>STU-030</t>
        </is>
      </c>
      <c r="C37" s="3" t="inlineStr">
        <is>
          <t>student030@example-interns.edu</t>
        </is>
      </c>
      <c r="D37" s="3" t="inlineStr">
        <is>
          <t>Review Reminder 24H</t>
        </is>
      </c>
      <c r="E37" s="3" t="inlineStr">
        <is>
          <t>[Reminder] Review #2 is Tomorrow (2026-10-27)</t>
        </is>
      </c>
      <c r="F37" s="3" t="inlineStr">
        <is>
          <t>2026-10-26 11:34:24</t>
        </is>
      </c>
      <c r="G37" s="3" t="inlineStr">
        <is>
          <t>Mock Delivered</t>
        </is>
      </c>
      <c r="H37" s="3" t="inlineStr"/>
      <c r="I37" s="3" t="n">
        <v>0</v>
      </c>
      <c r="J37" s="3" t="inlineStr">
        <is>
          <t>REV-STU-030-2</t>
        </is>
      </c>
    </row>
    <row r="38">
      <c r="A38" s="2" t="inlineStr">
        <is>
          <t>EML-4664184</t>
        </is>
      </c>
      <c r="B38" s="2" t="inlineStr">
        <is>
          <t>STU-031</t>
        </is>
      </c>
      <c r="C38" s="2" t="inlineStr">
        <is>
          <t>student031@example-interns.edu</t>
        </is>
      </c>
      <c r="D38" s="2" t="inlineStr">
        <is>
          <t>Review Reminder 24H</t>
        </is>
      </c>
      <c r="E38" s="2" t="inlineStr">
        <is>
          <t>[Reminder] Review #2 is Tomorrow (2026-10-27)</t>
        </is>
      </c>
      <c r="F38" s="2" t="inlineStr">
        <is>
          <t>2026-10-26 11:34:24</t>
        </is>
      </c>
      <c r="G38" s="2" t="inlineStr">
        <is>
          <t>Mock Delivered</t>
        </is>
      </c>
      <c r="H38" s="2" t="inlineStr"/>
      <c r="I38" s="2" t="n">
        <v>0</v>
      </c>
      <c r="J38" s="2" t="inlineStr">
        <is>
          <t>REV-STU-031-2</t>
        </is>
      </c>
    </row>
    <row r="39">
      <c r="A39" s="3" t="inlineStr">
        <is>
          <t>EML-4664213</t>
        </is>
      </c>
      <c r="B39" s="3" t="inlineStr">
        <is>
          <t>STU-032</t>
        </is>
      </c>
      <c r="C39" s="3" t="inlineStr">
        <is>
          <t>student032@example-interns.edu</t>
        </is>
      </c>
      <c r="D39" s="3" t="inlineStr">
        <is>
          <t>Review Reminder 24H</t>
        </is>
      </c>
      <c r="E39" s="3" t="inlineStr">
        <is>
          <t>[Reminder] Review #2 is Tomorrow (2026-10-27)</t>
        </is>
      </c>
      <c r="F39" s="3" t="inlineStr">
        <is>
          <t>2026-10-26 11:34:24</t>
        </is>
      </c>
      <c r="G39" s="3" t="inlineStr">
        <is>
          <t>Mock Delivered</t>
        </is>
      </c>
      <c r="H39" s="3" t="inlineStr"/>
      <c r="I39" s="3" t="n">
        <v>0</v>
      </c>
      <c r="J39" s="3" t="inlineStr">
        <is>
          <t>REV-STU-032-2</t>
        </is>
      </c>
    </row>
    <row r="40">
      <c r="A40" s="2" t="inlineStr">
        <is>
          <t>EML-4664269</t>
        </is>
      </c>
      <c r="B40" s="2" t="inlineStr">
        <is>
          <t>STU-033</t>
        </is>
      </c>
      <c r="C40" s="2" t="inlineStr">
        <is>
          <t>student033@example-interns.edu</t>
        </is>
      </c>
      <c r="D40" s="2" t="inlineStr">
        <is>
          <t>Review Reminder 24H</t>
        </is>
      </c>
      <c r="E40" s="2" t="inlineStr">
        <is>
          <t>[Reminder] Review #2 is Tomorrow (2026-10-27)</t>
        </is>
      </c>
      <c r="F40" s="2" t="inlineStr">
        <is>
          <t>2026-10-26 11:34:24</t>
        </is>
      </c>
      <c r="G40" s="2" t="inlineStr">
        <is>
          <t>Mock Delivered</t>
        </is>
      </c>
      <c r="H40" s="2" t="inlineStr"/>
      <c r="I40" s="2" t="n">
        <v>0</v>
      </c>
      <c r="J40" s="2" t="inlineStr">
        <is>
          <t>REV-STU-033-2</t>
        </is>
      </c>
    </row>
    <row r="41">
      <c r="A41" s="3" t="inlineStr">
        <is>
          <t>EML-4664322</t>
        </is>
      </c>
      <c r="B41" s="3" t="inlineStr">
        <is>
          <t>STU-034</t>
        </is>
      </c>
      <c r="C41" s="3" t="inlineStr">
        <is>
          <t>student034@example-interns.edu</t>
        </is>
      </c>
      <c r="D41" s="3" t="inlineStr">
        <is>
          <t>Review Reminder 24H</t>
        </is>
      </c>
      <c r="E41" s="3" t="inlineStr">
        <is>
          <t>[Reminder] Review #2 is Tomorrow (2026-10-27)</t>
        </is>
      </c>
      <c r="F41" s="3" t="inlineStr">
        <is>
          <t>2026-10-26 11:34:24</t>
        </is>
      </c>
      <c r="G41" s="3" t="inlineStr">
        <is>
          <t>Mock Delivered</t>
        </is>
      </c>
      <c r="H41" s="3" t="inlineStr"/>
      <c r="I41" s="3" t="n">
        <v>0</v>
      </c>
      <c r="J41" s="3" t="inlineStr">
        <is>
          <t>REV-STU-034-2</t>
        </is>
      </c>
    </row>
    <row r="42">
      <c r="A42" s="2" t="inlineStr">
        <is>
          <t>EML-4664354</t>
        </is>
      </c>
      <c r="B42" s="2" t="inlineStr">
        <is>
          <t>STU-035</t>
        </is>
      </c>
      <c r="C42" s="2" t="inlineStr">
        <is>
          <t>student035@example-interns.edu</t>
        </is>
      </c>
      <c r="D42" s="2" t="inlineStr">
        <is>
          <t>Review Reminder 24H</t>
        </is>
      </c>
      <c r="E42" s="2" t="inlineStr">
        <is>
          <t>[Reminder] Review #2 is Tomorrow (2026-10-27)</t>
        </is>
      </c>
      <c r="F42" s="2" t="inlineStr">
        <is>
          <t>2026-10-26 11:34:24</t>
        </is>
      </c>
      <c r="G42" s="2" t="inlineStr">
        <is>
          <t>Mock Delivered</t>
        </is>
      </c>
      <c r="H42" s="2" t="inlineStr"/>
      <c r="I42" s="2" t="n">
        <v>0</v>
      </c>
      <c r="J42" s="2" t="inlineStr">
        <is>
          <t>REV-STU-035-2</t>
        </is>
      </c>
    </row>
    <row r="43">
      <c r="A43" s="3" t="inlineStr">
        <is>
          <t>EML-4664382</t>
        </is>
      </c>
      <c r="B43" s="3" t="inlineStr">
        <is>
          <t>STU-036</t>
        </is>
      </c>
      <c r="C43" s="3" t="inlineStr">
        <is>
          <t>student036@example-interns.edu</t>
        </is>
      </c>
      <c r="D43" s="3" t="inlineStr">
        <is>
          <t>Review Reminder 24H</t>
        </is>
      </c>
      <c r="E43" s="3" t="inlineStr">
        <is>
          <t>[Reminder] Review #2 is Tomorrow (2026-10-27)</t>
        </is>
      </c>
      <c r="F43" s="3" t="inlineStr">
        <is>
          <t>2026-10-26 11:34:24</t>
        </is>
      </c>
      <c r="G43" s="3" t="inlineStr">
        <is>
          <t>Mock Delivered</t>
        </is>
      </c>
      <c r="H43" s="3" t="inlineStr"/>
      <c r="I43" s="3" t="n">
        <v>0</v>
      </c>
      <c r="J43" s="3" t="inlineStr">
        <is>
          <t>REV-STU-036-2</t>
        </is>
      </c>
    </row>
    <row r="44">
      <c r="A44" s="2" t="inlineStr">
        <is>
          <t>EML-4664407</t>
        </is>
      </c>
      <c r="B44" s="2" t="inlineStr">
        <is>
          <t>STU-037</t>
        </is>
      </c>
      <c r="C44" s="2" t="inlineStr">
        <is>
          <t>student037@example-interns.edu</t>
        </is>
      </c>
      <c r="D44" s="2" t="inlineStr">
        <is>
          <t>Review Reminder 24H</t>
        </is>
      </c>
      <c r="E44" s="2" t="inlineStr">
        <is>
          <t>[Reminder] Review #2 is Tomorrow (2026-10-27)</t>
        </is>
      </c>
      <c r="F44" s="2" t="inlineStr">
        <is>
          <t>2026-10-26 11:34:24</t>
        </is>
      </c>
      <c r="G44" s="2" t="inlineStr">
        <is>
          <t>Mock Delivered</t>
        </is>
      </c>
      <c r="H44" s="2" t="inlineStr"/>
      <c r="I44" s="2" t="n">
        <v>0</v>
      </c>
      <c r="J44" s="2" t="inlineStr">
        <is>
          <t>REV-STU-037-2</t>
        </is>
      </c>
    </row>
    <row r="45">
      <c r="A45" s="3" t="inlineStr">
        <is>
          <t>EML-4664439</t>
        </is>
      </c>
      <c r="B45" s="3" t="inlineStr">
        <is>
          <t>STU-038</t>
        </is>
      </c>
      <c r="C45" s="3" t="inlineStr">
        <is>
          <t>student038@example-interns.edu</t>
        </is>
      </c>
      <c r="D45" s="3" t="inlineStr">
        <is>
          <t>Review Reminder 24H</t>
        </is>
      </c>
      <c r="E45" s="3" t="inlineStr">
        <is>
          <t>[Reminder] Review #2 is Tomorrow (2026-10-27)</t>
        </is>
      </c>
      <c r="F45" s="3" t="inlineStr">
        <is>
          <t>2026-10-26 11:34:24</t>
        </is>
      </c>
      <c r="G45" s="3" t="inlineStr">
        <is>
          <t>Mock Delivered</t>
        </is>
      </c>
      <c r="H45" s="3" t="inlineStr"/>
      <c r="I45" s="3" t="n">
        <v>0</v>
      </c>
      <c r="J45" s="3" t="inlineStr">
        <is>
          <t>REV-STU-038-2</t>
        </is>
      </c>
    </row>
    <row r="46">
      <c r="A46" s="2" t="inlineStr">
        <is>
          <t>EML-4664471</t>
        </is>
      </c>
      <c r="B46" s="2" t="inlineStr">
        <is>
          <t>STU-039</t>
        </is>
      </c>
      <c r="C46" s="2" t="inlineStr">
        <is>
          <t>student039@example-interns.edu</t>
        </is>
      </c>
      <c r="D46" s="2" t="inlineStr">
        <is>
          <t>Review Reminder 24H</t>
        </is>
      </c>
      <c r="E46" s="2" t="inlineStr">
        <is>
          <t>[Reminder] Review #2 is Tomorrow (2026-10-27)</t>
        </is>
      </c>
      <c r="F46" s="2" t="inlineStr">
        <is>
          <t>2026-10-26 11:34:24</t>
        </is>
      </c>
      <c r="G46" s="2" t="inlineStr">
        <is>
          <t>Mock Delivered</t>
        </is>
      </c>
      <c r="H46" s="2" t="inlineStr"/>
      <c r="I46" s="2" t="n">
        <v>0</v>
      </c>
      <c r="J46" s="2" t="inlineStr">
        <is>
          <t>REV-STU-039-2</t>
        </is>
      </c>
    </row>
    <row r="47">
      <c r="A47" s="3" t="inlineStr">
        <is>
          <t>EML-4664511</t>
        </is>
      </c>
      <c r="B47" s="3" t="inlineStr">
        <is>
          <t>STU-040</t>
        </is>
      </c>
      <c r="C47" s="3" t="inlineStr">
        <is>
          <t>student040@example-interns.edu</t>
        </is>
      </c>
      <c r="D47" s="3" t="inlineStr">
        <is>
          <t>Review Reminder 24H</t>
        </is>
      </c>
      <c r="E47" s="3" t="inlineStr">
        <is>
          <t>[Reminder] Review #2 is Tomorrow (2026-10-27)</t>
        </is>
      </c>
      <c r="F47" s="3" t="inlineStr">
        <is>
          <t>2026-10-26 11:34:24</t>
        </is>
      </c>
      <c r="G47" s="3" t="inlineStr">
        <is>
          <t>Mock Delivered</t>
        </is>
      </c>
      <c r="H47" s="3" t="inlineStr"/>
      <c r="I47" s="3" t="n">
        <v>0</v>
      </c>
      <c r="J47" s="3" t="inlineStr">
        <is>
          <t>REV-STU-040-2</t>
        </is>
      </c>
    </row>
    <row r="48">
      <c r="A48" s="2" t="inlineStr">
        <is>
          <t>EML-4664550</t>
        </is>
      </c>
      <c r="B48" s="2" t="inlineStr">
        <is>
          <t>STU-061</t>
        </is>
      </c>
      <c r="C48" s="2" t="inlineStr">
        <is>
          <t>student061@example-interns.edu</t>
        </is>
      </c>
      <c r="D48" s="2" t="inlineStr">
        <is>
          <t>Overdue Notification</t>
        </is>
      </c>
      <c r="E48" s="2" t="inlineStr">
        <is>
          <t>[OVERDUE] Immediate Action Required: TASK-AIML-101</t>
        </is>
      </c>
      <c r="F48" s="2" t="inlineStr">
        <is>
          <t>2026-10-26 11:34:24</t>
        </is>
      </c>
      <c r="G48" s="2" t="inlineStr">
        <is>
          <t>Mock Delivered</t>
        </is>
      </c>
      <c r="H48" s="2" t="inlineStr"/>
      <c r="I48" s="2" t="n">
        <v>0</v>
      </c>
      <c r="J48" s="2" t="inlineStr"/>
    </row>
    <row r="49">
      <c r="A49" s="3" t="inlineStr">
        <is>
          <t>EML-4664578</t>
        </is>
      </c>
      <c r="B49" s="3" t="inlineStr">
        <is>
          <t>STU-062</t>
        </is>
      </c>
      <c r="C49" s="3" t="inlineStr">
        <is>
          <t>student062@example-interns.edu</t>
        </is>
      </c>
      <c r="D49" s="3" t="inlineStr">
        <is>
          <t>Overdue Notification</t>
        </is>
      </c>
      <c r="E49" s="3" t="inlineStr">
        <is>
          <t>[OVERDUE] Immediate Action Required: TASK-FSWD-202</t>
        </is>
      </c>
      <c r="F49" s="3" t="inlineStr">
        <is>
          <t>2026-10-26 11:34:24</t>
        </is>
      </c>
      <c r="G49" s="3" t="inlineStr">
        <is>
          <t>Mock Delivered</t>
        </is>
      </c>
      <c r="H49" s="3" t="inlineStr"/>
      <c r="I49" s="3" t="n">
        <v>0</v>
      </c>
      <c r="J49" s="3" t="inlineStr"/>
    </row>
    <row r="50">
      <c r="A50" s="2" t="inlineStr">
        <is>
          <t>EML-4664612</t>
        </is>
      </c>
      <c r="B50" s="2" t="inlineStr">
        <is>
          <t>STU-063</t>
        </is>
      </c>
      <c r="C50" s="2" t="inlineStr">
        <is>
          <t>student063@example-interns.edu</t>
        </is>
      </c>
      <c r="D50" s="2" t="inlineStr">
        <is>
          <t>Overdue Notification</t>
        </is>
      </c>
      <c r="E50" s="2" t="inlineStr">
        <is>
          <t>[OVERDUE] Immediate Action Required: TASK-DATA-301</t>
        </is>
      </c>
      <c r="F50" s="2" t="inlineStr">
        <is>
          <t>2026-10-26 11:34:24</t>
        </is>
      </c>
      <c r="G50" s="2" t="inlineStr">
        <is>
          <t>Mock Delivered</t>
        </is>
      </c>
      <c r="H50" s="2" t="inlineStr"/>
      <c r="I50" s="2" t="n">
        <v>0</v>
      </c>
      <c r="J50" s="2" t="inlineStr"/>
    </row>
    <row r="51">
      <c r="A51" s="3" t="inlineStr">
        <is>
          <t>EML-4664636</t>
        </is>
      </c>
      <c r="B51" s="3" t="inlineStr">
        <is>
          <t>STU-064</t>
        </is>
      </c>
      <c r="C51" s="3" t="inlineStr">
        <is>
          <t>student064@example-interns.edu</t>
        </is>
      </c>
      <c r="D51" s="3" t="inlineStr">
        <is>
          <t>Overdue Notification</t>
        </is>
      </c>
      <c r="E51" s="3" t="inlineStr">
        <is>
          <t>[OVERDUE] Immediate Action Required: TASK-DEVO-402</t>
        </is>
      </c>
      <c r="F51" s="3" t="inlineStr">
        <is>
          <t>2026-10-26 11:34:24</t>
        </is>
      </c>
      <c r="G51" s="3" t="inlineStr">
        <is>
          <t>Mock Delivered</t>
        </is>
      </c>
      <c r="H51" s="3" t="inlineStr"/>
      <c r="I51" s="3" t="n">
        <v>0</v>
      </c>
      <c r="J51" s="3" t="inlineStr"/>
    </row>
    <row r="52">
      <c r="A52" s="2" t="inlineStr">
        <is>
          <t>EML-4664697</t>
        </is>
      </c>
      <c r="B52" s="2" t="inlineStr">
        <is>
          <t>STU-065</t>
        </is>
      </c>
      <c r="C52" s="2" t="inlineStr">
        <is>
          <t>student065@example-interns.edu</t>
        </is>
      </c>
      <c r="D52" s="2" t="inlineStr">
        <is>
          <t>Overdue Notification</t>
        </is>
      </c>
      <c r="E52" s="2" t="inlineStr">
        <is>
          <t>[OVERDUE] Immediate Action Required: TASK-MOBL-501</t>
        </is>
      </c>
      <c r="F52" s="2" t="inlineStr">
        <is>
          <t>2026-10-26 11:34:24</t>
        </is>
      </c>
      <c r="G52" s="2" t="inlineStr">
        <is>
          <t>Mock Delivered</t>
        </is>
      </c>
      <c r="H52" s="2" t="inlineStr"/>
      <c r="I52" s="2" t="n">
        <v>0</v>
      </c>
      <c r="J52" s="2" t="inlineStr"/>
    </row>
    <row r="53">
      <c r="A53" s="3" t="inlineStr">
        <is>
          <t>EML-4664718</t>
        </is>
      </c>
      <c r="B53" s="3" t="inlineStr">
        <is>
          <t>STU-066</t>
        </is>
      </c>
      <c r="C53" s="3" t="inlineStr">
        <is>
          <t>student066@example-interns.edu</t>
        </is>
      </c>
      <c r="D53" s="3" t="inlineStr">
        <is>
          <t>Overdue Notification</t>
        </is>
      </c>
      <c r="E53" s="3" t="inlineStr">
        <is>
          <t>[OVERDUE] Immediate Action Required: TASK-CYBR-602</t>
        </is>
      </c>
      <c r="F53" s="3" t="inlineStr">
        <is>
          <t>2026-10-26 11:34:24</t>
        </is>
      </c>
      <c r="G53" s="3" t="inlineStr">
        <is>
          <t>Mock Delivered</t>
        </is>
      </c>
      <c r="H53" s="3" t="inlineStr"/>
      <c r="I53" s="3" t="n">
        <v>0</v>
      </c>
      <c r="J53" s="3" t="inlineStr"/>
    </row>
    <row r="54">
      <c r="A54" s="2" t="inlineStr">
        <is>
          <t>EML-4664736</t>
        </is>
      </c>
      <c r="B54" s="2" t="inlineStr">
        <is>
          <t>STU-067</t>
        </is>
      </c>
      <c r="C54" s="2" t="inlineStr">
        <is>
          <t>student067@example-interns.edu</t>
        </is>
      </c>
      <c r="D54" s="2" t="inlineStr">
        <is>
          <t>Overdue Notification</t>
        </is>
      </c>
      <c r="E54" s="2" t="inlineStr">
        <is>
          <t>[OVERDUE] Immediate Action Required: TASK-AIML-101</t>
        </is>
      </c>
      <c r="F54" s="2" t="inlineStr">
        <is>
          <t>2026-10-26 11:34:24</t>
        </is>
      </c>
      <c r="G54" s="2" t="inlineStr">
        <is>
          <t>Mock Delivered</t>
        </is>
      </c>
      <c r="H54" s="2" t="inlineStr"/>
      <c r="I54" s="2" t="n">
        <v>0</v>
      </c>
      <c r="J54" s="2" t="inlineStr"/>
    </row>
    <row r="55">
      <c r="A55" s="3" t="inlineStr">
        <is>
          <t>EML-4664753</t>
        </is>
      </c>
      <c r="B55" s="3" t="inlineStr">
        <is>
          <t>STU-068</t>
        </is>
      </c>
      <c r="C55" s="3" t="inlineStr">
        <is>
          <t>student068@example-interns.edu</t>
        </is>
      </c>
      <c r="D55" s="3" t="inlineStr">
        <is>
          <t>Overdue Notification</t>
        </is>
      </c>
      <c r="E55" s="3" t="inlineStr">
        <is>
          <t>[OVERDUE] Immediate Action Required: TASK-FSWD-202</t>
        </is>
      </c>
      <c r="F55" s="3" t="inlineStr">
        <is>
          <t>2026-10-26 11:34:24</t>
        </is>
      </c>
      <c r="G55" s="3" t="inlineStr">
        <is>
          <t>Mock Delivered</t>
        </is>
      </c>
      <c r="H55" s="3" t="inlineStr"/>
      <c r="I55" s="3" t="n">
        <v>0</v>
      </c>
      <c r="J55" s="3" t="inlineStr"/>
    </row>
    <row r="56">
      <c r="A56" s="2" t="inlineStr">
        <is>
          <t>EML-4664772</t>
        </is>
      </c>
      <c r="B56" s="2" t="inlineStr">
        <is>
          <t>STU-069</t>
        </is>
      </c>
      <c r="C56" s="2" t="inlineStr">
        <is>
          <t>student069@example-interns.edu</t>
        </is>
      </c>
      <c r="D56" s="2" t="inlineStr">
        <is>
          <t>Overdue Notification</t>
        </is>
      </c>
      <c r="E56" s="2" t="inlineStr">
        <is>
          <t>[OVERDUE] Immediate Action Required: TASK-DATA-301</t>
        </is>
      </c>
      <c r="F56" s="2" t="inlineStr">
        <is>
          <t>2026-10-26 11:34:24</t>
        </is>
      </c>
      <c r="G56" s="2" t="inlineStr">
        <is>
          <t>Mock Delivered</t>
        </is>
      </c>
      <c r="H56" s="2" t="inlineStr"/>
      <c r="I56" s="2" t="n">
        <v>0</v>
      </c>
      <c r="J56" s="2" t="inlineStr"/>
    </row>
    <row r="57">
      <c r="A57" s="3" t="inlineStr">
        <is>
          <t>EML-4664790</t>
        </is>
      </c>
      <c r="B57" s="3" t="inlineStr">
        <is>
          <t>STU-070</t>
        </is>
      </c>
      <c r="C57" s="3" t="inlineStr">
        <is>
          <t>student070@example-interns.edu</t>
        </is>
      </c>
      <c r="D57" s="3" t="inlineStr">
        <is>
          <t>Overdue Notification</t>
        </is>
      </c>
      <c r="E57" s="3" t="inlineStr">
        <is>
          <t>[OVERDUE] Immediate Action Required: TASK-DEVO-402</t>
        </is>
      </c>
      <c r="F57" s="3" t="inlineStr">
        <is>
          <t>2026-10-26 11:34:24</t>
        </is>
      </c>
      <c r="G57" s="3" t="inlineStr">
        <is>
          <t>Mock Delivered</t>
        </is>
      </c>
      <c r="H57" s="3" t="inlineStr"/>
      <c r="I57" s="3" t="n">
        <v>0</v>
      </c>
      <c r="J57" s="3" t="inlineStr"/>
    </row>
    <row r="58">
      <c r="A58" s="2" t="inlineStr">
        <is>
          <t>EML-4664813</t>
        </is>
      </c>
      <c r="B58" s="2" t="inlineStr">
        <is>
          <t>STU-071</t>
        </is>
      </c>
      <c r="C58" s="2" t="inlineStr">
        <is>
          <t>student071@example-interns.edu</t>
        </is>
      </c>
      <c r="D58" s="2" t="inlineStr">
        <is>
          <t>Overdue Notification</t>
        </is>
      </c>
      <c r="E58" s="2" t="inlineStr">
        <is>
          <t>[OVERDUE] Immediate Action Required: TASK-MOBL-501</t>
        </is>
      </c>
      <c r="F58" s="2" t="inlineStr">
        <is>
          <t>2026-10-26 11:34:24</t>
        </is>
      </c>
      <c r="G58" s="2" t="inlineStr">
        <is>
          <t>Mock Delivered</t>
        </is>
      </c>
      <c r="H58" s="2" t="inlineStr"/>
      <c r="I58" s="2" t="n">
        <v>0</v>
      </c>
      <c r="J58" s="2" t="inlineStr"/>
    </row>
    <row r="59">
      <c r="A59" s="3" t="inlineStr">
        <is>
          <t>EML-4664848</t>
        </is>
      </c>
      <c r="B59" s="3" t="inlineStr">
        <is>
          <t>STU-072</t>
        </is>
      </c>
      <c r="C59" s="3" t="inlineStr">
        <is>
          <t>student072@example-interns.edu</t>
        </is>
      </c>
      <c r="D59" s="3" t="inlineStr">
        <is>
          <t>Overdue Notification</t>
        </is>
      </c>
      <c r="E59" s="3" t="inlineStr">
        <is>
          <t>[OVERDUE] Immediate Action Required: TASK-CYBR-602</t>
        </is>
      </c>
      <c r="F59" s="3" t="inlineStr">
        <is>
          <t>2026-10-26 11:34:24</t>
        </is>
      </c>
      <c r="G59" s="3" t="inlineStr">
        <is>
          <t>Mock Delivered</t>
        </is>
      </c>
      <c r="H59" s="3" t="inlineStr"/>
      <c r="I59" s="3" t="n">
        <v>0</v>
      </c>
      <c r="J59" s="3" t="inlineStr"/>
    </row>
    <row r="60">
      <c r="A60" s="2" t="inlineStr">
        <is>
          <t>EML-4664884</t>
        </is>
      </c>
      <c r="B60" s="2" t="inlineStr">
        <is>
          <t>STU-073</t>
        </is>
      </c>
      <c r="C60" s="2" t="inlineStr">
        <is>
          <t>student073@example-interns.edu</t>
        </is>
      </c>
      <c r="D60" s="2" t="inlineStr">
        <is>
          <t>Overdue Notification</t>
        </is>
      </c>
      <c r="E60" s="2" t="inlineStr">
        <is>
          <t>[OVERDUE] Immediate Action Required: TASK-AIML-101</t>
        </is>
      </c>
      <c r="F60" s="2" t="inlineStr">
        <is>
          <t>2026-10-26 11:34:24</t>
        </is>
      </c>
      <c r="G60" s="2" t="inlineStr">
        <is>
          <t>Mock Delivered</t>
        </is>
      </c>
      <c r="H60" s="2" t="inlineStr"/>
      <c r="I60" s="2" t="n">
        <v>0</v>
      </c>
      <c r="J60" s="2" t="inlineStr"/>
    </row>
    <row r="61">
      <c r="A61" s="3" t="inlineStr">
        <is>
          <t>EML-4664914</t>
        </is>
      </c>
      <c r="B61" s="3" t="inlineStr">
        <is>
          <t>STU-074</t>
        </is>
      </c>
      <c r="C61" s="3" t="inlineStr">
        <is>
          <t>student074@example-interns.edu</t>
        </is>
      </c>
      <c r="D61" s="3" t="inlineStr">
        <is>
          <t>Overdue Notification</t>
        </is>
      </c>
      <c r="E61" s="3" t="inlineStr">
        <is>
          <t>[OVERDUE] Immediate Action Required: TASK-FSWD-202</t>
        </is>
      </c>
      <c r="F61" s="3" t="inlineStr">
        <is>
          <t>2026-10-26 11:34:24</t>
        </is>
      </c>
      <c r="G61" s="3" t="inlineStr">
        <is>
          <t>Mock Delivered</t>
        </is>
      </c>
      <c r="H61" s="3" t="inlineStr"/>
      <c r="I61" s="3" t="n">
        <v>0</v>
      </c>
      <c r="J61" s="3" t="inlineStr"/>
    </row>
    <row r="62">
      <c r="A62" s="2" t="inlineStr">
        <is>
          <t>EML-4664939</t>
        </is>
      </c>
      <c r="B62" s="2" t="inlineStr">
        <is>
          <t>STU-075</t>
        </is>
      </c>
      <c r="C62" s="2" t="inlineStr">
        <is>
          <t>student075@example-interns.edu</t>
        </is>
      </c>
      <c r="D62" s="2" t="inlineStr">
        <is>
          <t>Overdue Notification</t>
        </is>
      </c>
      <c r="E62" s="2" t="inlineStr">
        <is>
          <t>[OVERDUE] Immediate Action Required: TASK-DATA-301</t>
        </is>
      </c>
      <c r="F62" s="2" t="inlineStr">
        <is>
          <t>2026-10-26 11:34:24</t>
        </is>
      </c>
      <c r="G62" s="2" t="inlineStr">
        <is>
          <t>Mock Delivered</t>
        </is>
      </c>
      <c r="H62" s="2" t="inlineStr"/>
      <c r="I62" s="2" t="n">
        <v>0</v>
      </c>
      <c r="J62" s="2" t="inlineStr"/>
    </row>
    <row r="63">
      <c r="A63" s="3" t="inlineStr">
        <is>
          <t>EML-4664961</t>
        </is>
      </c>
      <c r="B63" s="3" t="inlineStr">
        <is>
          <t>STU-089</t>
        </is>
      </c>
      <c r="C63" s="3" t="inlineStr">
        <is>
          <t>student089@example-interns.edu</t>
        </is>
      </c>
      <c r="D63" s="3" t="inlineStr">
        <is>
          <t>Overdue Notification</t>
        </is>
      </c>
      <c r="E63" s="3" t="inlineStr">
        <is>
          <t>[OVERDUE] Immediate Action Required: TASK-MOBL-501</t>
        </is>
      </c>
      <c r="F63" s="3" t="inlineStr">
        <is>
          <t>2026-10-26 11:34:24</t>
        </is>
      </c>
      <c r="G63" s="3" t="inlineStr">
        <is>
          <t>Mock Delivered</t>
        </is>
      </c>
      <c r="H63" s="3" t="inlineStr"/>
      <c r="I63" s="3" t="n">
        <v>0</v>
      </c>
      <c r="J63" s="3" t="inlineStr"/>
    </row>
    <row r="64">
      <c r="A64" s="2" t="inlineStr">
        <is>
          <t>EML-4664981</t>
        </is>
      </c>
      <c r="B64" s="2" t="inlineStr">
        <is>
          <t>STU-090</t>
        </is>
      </c>
      <c r="C64" s="2" t="inlineStr">
        <is>
          <t>student090@example-interns.edu</t>
        </is>
      </c>
      <c r="D64" s="2" t="inlineStr">
        <is>
          <t>Overdue Notification</t>
        </is>
      </c>
      <c r="E64" s="2" t="inlineStr">
        <is>
          <t>[OVERDUE] Immediate Action Required: TASK-CYBR-602</t>
        </is>
      </c>
      <c r="F64" s="2" t="inlineStr">
        <is>
          <t>2026-10-26 11:34:24</t>
        </is>
      </c>
      <c r="G64" s="2" t="inlineStr">
        <is>
          <t>Mock Delivered</t>
        </is>
      </c>
      <c r="H64" s="2" t="inlineStr"/>
      <c r="I64" s="2" t="n">
        <v>0</v>
      </c>
      <c r="J64" s="2" t="inlineStr"/>
    </row>
    <row r="65">
      <c r="A65" s="3" t="inlineStr">
        <is>
          <t>EML-4663787</t>
        </is>
      </c>
      <c r="B65" s="3" t="inlineStr">
        <is>
          <t>STU-022</t>
        </is>
      </c>
      <c r="C65" s="3" t="inlineStr">
        <is>
          <t>student022@example-interns.edu</t>
        </is>
      </c>
      <c r="D65" s="3" t="inlineStr">
        <is>
          <t>Review Reminder 24H</t>
        </is>
      </c>
      <c r="E65" s="3" t="inlineStr">
        <is>
          <t>[Reminder] Review #2 is Tomorrow (2026-10-27)</t>
        </is>
      </c>
      <c r="F65" s="3" t="inlineStr">
        <is>
          <t>2026-10-26 11:34:23</t>
        </is>
      </c>
      <c r="G65" s="3" t="inlineStr">
        <is>
          <t>Mock Delivered</t>
        </is>
      </c>
      <c r="H65" s="3" t="inlineStr"/>
      <c r="I65" s="3" t="n">
        <v>0</v>
      </c>
      <c r="J65" s="3" t="inlineStr">
        <is>
          <t>REV-STU-022-2</t>
        </is>
      </c>
    </row>
    <row r="66">
      <c r="A66" s="2" t="inlineStr">
        <is>
          <t>EML-4663845</t>
        </is>
      </c>
      <c r="B66" s="2" t="inlineStr">
        <is>
          <t>STU-023</t>
        </is>
      </c>
      <c r="C66" s="2" t="inlineStr">
        <is>
          <t>student023@example-interns.edu</t>
        </is>
      </c>
      <c r="D66" s="2" t="inlineStr">
        <is>
          <t>Review Reminder 24H</t>
        </is>
      </c>
      <c r="E66" s="2" t="inlineStr">
        <is>
          <t>[Reminder] Review #2 is Tomorrow (2026-10-27)</t>
        </is>
      </c>
      <c r="F66" s="2" t="inlineStr">
        <is>
          <t>2026-10-26 11:34:23</t>
        </is>
      </c>
      <c r="G66" s="2" t="inlineStr">
        <is>
          <t>Mock Delivered</t>
        </is>
      </c>
      <c r="H66" s="2" t="inlineStr"/>
      <c r="I66" s="2" t="n">
        <v>0</v>
      </c>
      <c r="J66" s="2" t="inlineStr">
        <is>
          <t>REV-STU-023-2</t>
        </is>
      </c>
    </row>
    <row r="67">
      <c r="A67" s="3" t="inlineStr">
        <is>
          <t>EML-4663885</t>
        </is>
      </c>
      <c r="B67" s="3" t="inlineStr">
        <is>
          <t>STU-024</t>
        </is>
      </c>
      <c r="C67" s="3" t="inlineStr">
        <is>
          <t>student024@example-interns.edu</t>
        </is>
      </c>
      <c r="D67" s="3" t="inlineStr">
        <is>
          <t>Review Reminder 24H</t>
        </is>
      </c>
      <c r="E67" s="3" t="inlineStr">
        <is>
          <t>[Reminder] Review #2 is Tomorrow (2026-10-27)</t>
        </is>
      </c>
      <c r="F67" s="3" t="inlineStr">
        <is>
          <t>2026-10-26 11:34:23</t>
        </is>
      </c>
      <c r="G67" s="3" t="inlineStr">
        <is>
          <t>Mock Delivered</t>
        </is>
      </c>
      <c r="H67" s="3" t="inlineStr"/>
      <c r="I67" s="3" t="n">
        <v>0</v>
      </c>
      <c r="J67" s="3" t="inlineStr">
        <is>
          <t>REV-STU-024-2</t>
        </is>
      </c>
    </row>
    <row r="68">
      <c r="A68" s="2" t="inlineStr">
        <is>
          <t>EML-4663952</t>
        </is>
      </c>
      <c r="B68" s="2" t="inlineStr">
        <is>
          <t>STU-025</t>
        </is>
      </c>
      <c r="C68" s="2" t="inlineStr">
        <is>
          <t>student025@example-interns.edu</t>
        </is>
      </c>
      <c r="D68" s="2" t="inlineStr">
        <is>
          <t>Review Reminder 24H</t>
        </is>
      </c>
      <c r="E68" s="2" t="inlineStr">
        <is>
          <t>[Reminder] Review #2 is Tomorrow (2026-10-27)</t>
        </is>
      </c>
      <c r="F68" s="2" t="inlineStr">
        <is>
          <t>2026-10-26 11:34:23</t>
        </is>
      </c>
      <c r="G68" s="2" t="inlineStr">
        <is>
          <t>Mock Delivered</t>
        </is>
      </c>
      <c r="H68" s="2" t="inlineStr"/>
      <c r="I68" s="2" t="n">
        <v>0</v>
      </c>
      <c r="J68" s="2" t="inlineStr">
        <is>
          <t>REV-STU-025-2</t>
        </is>
      </c>
    </row>
    <row r="69">
      <c r="A69" s="3" t="inlineStr">
        <is>
          <t>EML-4580507</t>
        </is>
      </c>
      <c r="B69" s="3" t="inlineStr">
        <is>
          <t>STU-021</t>
        </is>
      </c>
      <c r="C69" s="3" t="inlineStr">
        <is>
          <t>student021@example-interns.edu</t>
        </is>
      </c>
      <c r="D69" s="3" t="inlineStr">
        <is>
          <t>Review Reminder 24H</t>
        </is>
      </c>
      <c r="E69" s="3" t="inlineStr">
        <is>
          <t>[Reminder] Review #2 is Tomorrow (2026-10-27)</t>
        </is>
      </c>
      <c r="F69" s="3" t="inlineStr">
        <is>
          <t>2026-10-26 11:33:00</t>
        </is>
      </c>
      <c r="G69" s="3" t="inlineStr">
        <is>
          <t>Mock Delivered</t>
        </is>
      </c>
      <c r="H69" s="3" t="inlineStr"/>
      <c r="I69" s="3" t="n">
        <v>0</v>
      </c>
      <c r="J69" s="3" t="inlineStr">
        <is>
          <t>REV-STU-021-2</t>
        </is>
      </c>
    </row>
    <row r="70">
      <c r="A70" s="2" t="inlineStr">
        <is>
          <t>EML-4558337</t>
        </is>
      </c>
      <c r="B70" s="2" t="inlineStr">
        <is>
          <t>STU-095</t>
        </is>
      </c>
      <c r="C70" s="2" t="inlineStr">
        <is>
          <t>student095@example-interns.edu</t>
        </is>
      </c>
      <c r="D70" s="2" t="inlineStr">
        <is>
          <t>Task Allocation</t>
        </is>
      </c>
      <c r="E70" s="2" t="inlineStr">
        <is>
          <t>[TASK-MOBL-501] Official Internship Task Allocation &amp; Deliverables</t>
        </is>
      </c>
      <c r="F70" s="2" t="inlineStr">
        <is>
          <t>2026-10-26 11:32:38</t>
        </is>
      </c>
      <c r="G70" s="2" t="inlineStr">
        <is>
          <t>Mock Delivered</t>
        </is>
      </c>
      <c r="H70" s="2" t="inlineStr"/>
      <c r="I70" s="2" t="n">
        <v>0</v>
      </c>
      <c r="J70" s="2" t="inlineStr"/>
    </row>
    <row r="71">
      <c r="A71" s="3" t="inlineStr">
        <is>
          <t>EML-4558386</t>
        </is>
      </c>
      <c r="B71" s="3" t="inlineStr">
        <is>
          <t>TEST-001</t>
        </is>
      </c>
      <c r="C71" s="3" t="inlineStr">
        <is>
          <t>test.student@example-interns.edu</t>
        </is>
      </c>
      <c r="D71" s="3" t="inlineStr">
        <is>
          <t>Unit Test Allocation</t>
        </is>
      </c>
      <c r="E71" s="3" t="inlineStr">
        <is>
          <t>[Test] Task Allocation</t>
        </is>
      </c>
      <c r="F71" s="3" t="inlineStr">
        <is>
          <t>2026-10-26 11:32:38</t>
        </is>
      </c>
      <c r="G71" s="3" t="inlineStr">
        <is>
          <t>Mock Delivered</t>
        </is>
      </c>
      <c r="H71" s="3" t="inlineStr"/>
      <c r="I71" s="3" t="n">
        <v>0</v>
      </c>
      <c r="J71" s="3" t="inlineStr"/>
    </row>
    <row r="72">
      <c r="A72" s="2" t="inlineStr">
        <is>
          <t>EML-4513204</t>
        </is>
      </c>
      <c r="B72" s="2" t="inlineStr">
        <is>
          <t>STU-095</t>
        </is>
      </c>
      <c r="C72" s="2" t="inlineStr">
        <is>
          <t>student095@example-interns.edu</t>
        </is>
      </c>
      <c r="D72" s="2" t="inlineStr">
        <is>
          <t>Task Allocation</t>
        </is>
      </c>
      <c r="E72" s="2" t="inlineStr">
        <is>
          <t>[TASK-MOBL-501] Official Internship Task Allocation &amp; Deliverables</t>
        </is>
      </c>
      <c r="F72" s="2" t="inlineStr">
        <is>
          <t>2026-10-26 11:31:53</t>
        </is>
      </c>
      <c r="G72" s="2" t="inlineStr">
        <is>
          <t>Mock Delivered</t>
        </is>
      </c>
      <c r="H72" s="2" t="inlineStr"/>
      <c r="I72" s="2" t="n">
        <v>0</v>
      </c>
      <c r="J72" s="2" t="inlineStr"/>
    </row>
    <row r="73">
      <c r="A73" s="3" t="inlineStr">
        <is>
          <t>EML-4513253</t>
        </is>
      </c>
      <c r="B73" s="3" t="inlineStr">
        <is>
          <t>TEST-001</t>
        </is>
      </c>
      <c r="C73" s="3" t="inlineStr">
        <is>
          <t>test.student@example-interns.edu</t>
        </is>
      </c>
      <c r="D73" s="3" t="inlineStr">
        <is>
          <t>Unit Test Allocation</t>
        </is>
      </c>
      <c r="E73" s="3" t="inlineStr">
        <is>
          <t>[Test] Task Allocation</t>
        </is>
      </c>
      <c r="F73" s="3" t="inlineStr">
        <is>
          <t>2026-10-26 11:31:53</t>
        </is>
      </c>
      <c r="G73" s="3" t="inlineStr">
        <is>
          <t>Mock Delivered</t>
        </is>
      </c>
      <c r="H73" s="3" t="inlineStr"/>
      <c r="I73" s="3" t="n">
        <v>0</v>
      </c>
      <c r="J73" s="3" t="inlineStr"/>
    </row>
    <row r="74">
      <c r="A74" s="2" t="inlineStr">
        <is>
          <t>EML-4408909</t>
        </is>
      </c>
      <c r="B74" s="2" t="inlineStr">
        <is>
          <t>STU-095</t>
        </is>
      </c>
      <c r="C74" s="2" t="inlineStr">
        <is>
          <t>student095@example-interns.edu</t>
        </is>
      </c>
      <c r="D74" s="2" t="inlineStr">
        <is>
          <t>Task Allocation</t>
        </is>
      </c>
      <c r="E74" s="2" t="inlineStr">
        <is>
          <t>[TASK-MOBL-501] Official Internship Task Allocation &amp; Deliverables</t>
        </is>
      </c>
      <c r="F74" s="2" t="inlineStr">
        <is>
          <t>2026-10-26 11:30:08</t>
        </is>
      </c>
      <c r="G74" s="2" t="inlineStr">
        <is>
          <t>Mock Delivered</t>
        </is>
      </c>
      <c r="H74" s="2" t="inlineStr"/>
      <c r="I74" s="2" t="n">
        <v>0</v>
      </c>
      <c r="J74" s="2" t="inlineStr"/>
    </row>
    <row r="75">
      <c r="A75" s="3" t="inlineStr">
        <is>
          <t>EML-4408977</t>
        </is>
      </c>
      <c r="B75" s="3" t="inlineStr">
        <is>
          <t>TEST-001</t>
        </is>
      </c>
      <c r="C75" s="3" t="inlineStr">
        <is>
          <t>test.student@example-interns.edu</t>
        </is>
      </c>
      <c r="D75" s="3" t="inlineStr">
        <is>
          <t>Unit Test Allocation</t>
        </is>
      </c>
      <c r="E75" s="3" t="inlineStr">
        <is>
          <t>[Test] Task Allocation</t>
        </is>
      </c>
      <c r="F75" s="3" t="inlineStr">
        <is>
          <t>2026-10-26 11:30:08</t>
        </is>
      </c>
      <c r="G75" s="3" t="inlineStr">
        <is>
          <t>Mock Delivered</t>
        </is>
      </c>
      <c r="H75" s="3" t="inlineStr"/>
      <c r="I75" s="3" t="n">
        <v>0</v>
      </c>
      <c r="J75" s="3" t="inlineStr"/>
    </row>
    <row r="76">
      <c r="A76" s="2" t="inlineStr">
        <is>
          <t>EML-1007</t>
        </is>
      </c>
      <c r="B76" s="2" t="inlineStr">
        <is>
          <t>STU-007</t>
        </is>
      </c>
      <c r="C76" s="2" t="inlineStr">
        <is>
          <t>student007@example-interns.edu</t>
        </is>
      </c>
      <c r="D76" s="2" t="inlineStr">
        <is>
          <t>Review Feedback &amp; Follow-up</t>
        </is>
      </c>
      <c r="E76" s="2" t="inlineStr">
        <is>
          <t>Review #2 Feedback &amp; Evaluation Report</t>
        </is>
      </c>
      <c r="F76" s="2" t="inlineStr">
        <is>
          <t>2026-10-26 11:19</t>
        </is>
      </c>
      <c r="G76" s="2" t="inlineStr">
        <is>
          <t>Sent</t>
        </is>
      </c>
      <c r="H76" s="2" t="inlineStr"/>
      <c r="I76" s="2" t="n">
        <v>0</v>
      </c>
      <c r="J76" s="2" t="inlineStr">
        <is>
          <t>REV-STU-007-1</t>
        </is>
      </c>
    </row>
    <row r="77">
      <c r="A77" s="3" t="inlineStr">
        <is>
          <t>EML-1014</t>
        </is>
      </c>
      <c r="B77" s="3" t="inlineStr">
        <is>
          <t>STU-014</t>
        </is>
      </c>
      <c r="C77" s="3" t="inlineStr">
        <is>
          <t>student014@example-interns.edu</t>
        </is>
      </c>
      <c r="D77" s="3" t="inlineStr">
        <is>
          <t>Review Feedback &amp; Follow-up</t>
        </is>
      </c>
      <c r="E77" s="3" t="inlineStr">
        <is>
          <t>Review #2 Feedback &amp; Evaluation Report</t>
        </is>
      </c>
      <c r="F77" s="3" t="inlineStr">
        <is>
          <t>2026-10-26 11:19</t>
        </is>
      </c>
      <c r="G77" s="3" t="inlineStr">
        <is>
          <t>Sent</t>
        </is>
      </c>
      <c r="H77" s="3" t="inlineStr"/>
      <c r="I77" s="3" t="n">
        <v>0</v>
      </c>
      <c r="J77" s="3" t="inlineStr">
        <is>
          <t>REV-STU-014-1</t>
        </is>
      </c>
    </row>
    <row r="78">
      <c r="A78" s="2" t="inlineStr">
        <is>
          <t>EML-1021</t>
        </is>
      </c>
      <c r="B78" s="2" t="inlineStr">
        <is>
          <t>STU-021</t>
        </is>
      </c>
      <c r="C78" s="2" t="inlineStr">
        <is>
          <t>student021@example-interns.edu</t>
        </is>
      </c>
      <c r="D78" s="2" t="inlineStr">
        <is>
          <t>Review Feedback &amp; Follow-up</t>
        </is>
      </c>
      <c r="E78" s="2" t="inlineStr">
        <is>
          <t>Review #1 Feedback &amp; Evaluation Report</t>
        </is>
      </c>
      <c r="F78" s="2" t="inlineStr">
        <is>
          <t>2026-10-26 11:19</t>
        </is>
      </c>
      <c r="G78" s="2" t="inlineStr">
        <is>
          <t>Sent</t>
        </is>
      </c>
      <c r="H78" s="2" t="inlineStr"/>
      <c r="I78" s="2" t="n">
        <v>0</v>
      </c>
      <c r="J78" s="2" t="inlineStr">
        <is>
          <t>REV-STU-021-1</t>
        </is>
      </c>
    </row>
    <row r="79">
      <c r="A79" s="3" t="inlineStr">
        <is>
          <t>EML-1028</t>
        </is>
      </c>
      <c r="B79" s="3" t="inlineStr">
        <is>
          <t>STU-028</t>
        </is>
      </c>
      <c r="C79" s="3" t="inlineStr">
        <is>
          <t>student028@example-interns.edu</t>
        </is>
      </c>
      <c r="D79" s="3" t="inlineStr">
        <is>
          <t>Review Feedback &amp; Follow-up</t>
        </is>
      </c>
      <c r="E79" s="3" t="inlineStr">
        <is>
          <t>Review #1 Feedback &amp; Evaluation Report</t>
        </is>
      </c>
      <c r="F79" s="3" t="inlineStr">
        <is>
          <t>2026-10-26 11:19</t>
        </is>
      </c>
      <c r="G79" s="3" t="inlineStr">
        <is>
          <t>Sent</t>
        </is>
      </c>
      <c r="H79" s="3" t="inlineStr"/>
      <c r="I79" s="3" t="n">
        <v>0</v>
      </c>
      <c r="J79" s="3" t="inlineStr">
        <is>
          <t>REV-STU-028-1</t>
        </is>
      </c>
    </row>
    <row r="80">
      <c r="A80" s="2" t="inlineStr">
        <is>
          <t>EML-1035</t>
        </is>
      </c>
      <c r="B80" s="2" t="inlineStr">
        <is>
          <t>STU-035</t>
        </is>
      </c>
      <c r="C80" s="2" t="inlineStr">
        <is>
          <t>student035@example-interns.edu</t>
        </is>
      </c>
      <c r="D80" s="2" t="inlineStr">
        <is>
          <t>Review Feedback &amp; Follow-up</t>
        </is>
      </c>
      <c r="E80" s="2" t="inlineStr">
        <is>
          <t>Review #1 Feedback &amp; Evaluation Report</t>
        </is>
      </c>
      <c r="F80" s="2" t="inlineStr">
        <is>
          <t>2026-10-26 11:19</t>
        </is>
      </c>
      <c r="G80" s="2" t="inlineStr">
        <is>
          <t>Sent</t>
        </is>
      </c>
      <c r="H80" s="2" t="inlineStr"/>
      <c r="I80" s="2" t="n">
        <v>0</v>
      </c>
      <c r="J80" s="2" t="inlineStr">
        <is>
          <t>REV-STU-035-1</t>
        </is>
      </c>
    </row>
    <row r="81">
      <c r="A81" s="3" t="inlineStr">
        <is>
          <t>EML-1042</t>
        </is>
      </c>
      <c r="B81" s="3" t="inlineStr">
        <is>
          <t>STU-042</t>
        </is>
      </c>
      <c r="C81" s="3" t="inlineStr">
        <is>
          <t>student042@example-interns.edu</t>
        </is>
      </c>
      <c r="D81" s="3" t="inlineStr">
        <is>
          <t>Review Feedback &amp; Follow-up</t>
        </is>
      </c>
      <c r="E81" s="3" t="inlineStr">
        <is>
          <t>Review #1 Feedback &amp; Evaluation Report</t>
        </is>
      </c>
      <c r="F81" s="3" t="inlineStr">
        <is>
          <t>2026-10-26 11:19</t>
        </is>
      </c>
      <c r="G81" s="3" t="inlineStr">
        <is>
          <t>Sent</t>
        </is>
      </c>
      <c r="H81" s="3" t="inlineStr"/>
      <c r="I81" s="3" t="n">
        <v>0</v>
      </c>
      <c r="J81" s="3" t="inlineStr">
        <is>
          <t>REV-STU-042-1</t>
        </is>
      </c>
    </row>
    <row r="82">
      <c r="A82" s="2" t="inlineStr">
        <is>
          <t>EML-1049</t>
        </is>
      </c>
      <c r="B82" s="2" t="inlineStr">
        <is>
          <t>STU-049</t>
        </is>
      </c>
      <c r="C82" s="2" t="inlineStr">
        <is>
          <t>student049@example-interns.edu</t>
        </is>
      </c>
      <c r="D82" s="2" t="inlineStr">
        <is>
          <t>Review Feedback &amp; Follow-up</t>
        </is>
      </c>
      <c r="E82" s="2" t="inlineStr">
        <is>
          <t>Review #1 Feedback &amp; Evaluation Report</t>
        </is>
      </c>
      <c r="F82" s="2" t="inlineStr">
        <is>
          <t>2026-10-26 11:19</t>
        </is>
      </c>
      <c r="G82" s="2" t="inlineStr">
        <is>
          <t>Sent</t>
        </is>
      </c>
      <c r="H82" s="2" t="inlineStr"/>
      <c r="I82" s="2" t="n">
        <v>0</v>
      </c>
      <c r="J82" s="2" t="inlineStr">
        <is>
          <t>REV-STU-049-1</t>
        </is>
      </c>
    </row>
    <row r="83">
      <c r="A83" s="3" t="inlineStr">
        <is>
          <t>EML-1056</t>
        </is>
      </c>
      <c r="B83" s="3" t="inlineStr">
        <is>
          <t>STU-056</t>
        </is>
      </c>
      <c r="C83" s="3" t="inlineStr">
        <is>
          <t>student056@example-interns.edu</t>
        </is>
      </c>
      <c r="D83" s="3" t="inlineStr">
        <is>
          <t>Review Feedback &amp; Follow-up</t>
        </is>
      </c>
      <c r="E83" s="3" t="inlineStr">
        <is>
          <t>Review #1 Feedback &amp; Evaluation Report</t>
        </is>
      </c>
      <c r="F83" s="3" t="inlineStr">
        <is>
          <t>2026-10-26 11:19</t>
        </is>
      </c>
      <c r="G83" s="3" t="inlineStr">
        <is>
          <t>Sent</t>
        </is>
      </c>
      <c r="H83" s="3" t="inlineStr"/>
      <c r="I83" s="3" t="n">
        <v>0</v>
      </c>
      <c r="J83" s="3" t="inlineStr">
        <is>
          <t>REV-STU-056-1</t>
        </is>
      </c>
    </row>
    <row r="84">
      <c r="A84" s="2" t="inlineStr">
        <is>
          <t>EML-1063</t>
        </is>
      </c>
      <c r="B84" s="2" t="inlineStr">
        <is>
          <t>STU-063</t>
        </is>
      </c>
      <c r="C84" s="2" t="inlineStr">
        <is>
          <t>student063@example-interns.edu</t>
        </is>
      </c>
      <c r="D84" s="2" t="inlineStr">
        <is>
          <t>Task Allocation</t>
        </is>
      </c>
      <c r="E84" s="2" t="inlineStr">
        <is>
          <t>[TASK-DATA-301] Official Assignment &amp; Internship Instructions</t>
        </is>
      </c>
      <c r="F84" s="2" t="inlineStr">
        <is>
          <t>2026-10-26 11:19</t>
        </is>
      </c>
      <c r="G84" s="2" t="inlineStr">
        <is>
          <t>Sent</t>
        </is>
      </c>
      <c r="H84" s="2" t="inlineStr"/>
      <c r="I84" s="2" t="n">
        <v>0</v>
      </c>
      <c r="J84" s="2" t="inlineStr"/>
    </row>
    <row r="85">
      <c r="A85" s="3" t="inlineStr">
        <is>
          <t>EML-1070</t>
        </is>
      </c>
      <c r="B85" s="3" t="inlineStr">
        <is>
          <t>STU-070</t>
        </is>
      </c>
      <c r="C85" s="3" t="inlineStr">
        <is>
          <t>student070@example-interns.edu</t>
        </is>
      </c>
      <c r="D85" s="3" t="inlineStr">
        <is>
          <t>Task Allocation</t>
        </is>
      </c>
      <c r="E85" s="3" t="inlineStr">
        <is>
          <t>[TASK-DEVO-402] Official Assignment &amp; Internship Instructions</t>
        </is>
      </c>
      <c r="F85" s="3" t="inlineStr">
        <is>
          <t>2026-10-26 11:19</t>
        </is>
      </c>
      <c r="G85" s="3" t="inlineStr">
        <is>
          <t>Sent</t>
        </is>
      </c>
      <c r="H85" s="3" t="inlineStr"/>
      <c r="I85" s="3" t="n">
        <v>0</v>
      </c>
      <c r="J85" s="3" t="inlineStr"/>
    </row>
    <row r="86">
      <c r="A86" s="2" t="inlineStr">
        <is>
          <t>EML-1077</t>
        </is>
      </c>
      <c r="B86" s="2" t="inlineStr">
        <is>
          <t>STU-077</t>
        </is>
      </c>
      <c r="C86" s="2" t="inlineStr">
        <is>
          <t>student077@example-interns.edu</t>
        </is>
      </c>
      <c r="D86" s="2" t="inlineStr">
        <is>
          <t>Task Allocation</t>
        </is>
      </c>
      <c r="E86" s="2" t="inlineStr">
        <is>
          <t>[TASK-MOBL-501] Official Assignment &amp; Internship Instructions</t>
        </is>
      </c>
      <c r="F86" s="2" t="inlineStr">
        <is>
          <t>2026-10-26 11:19</t>
        </is>
      </c>
      <c r="G86" s="2" t="inlineStr">
        <is>
          <t>Sent</t>
        </is>
      </c>
      <c r="H86" s="2" t="inlineStr"/>
      <c r="I86" s="2" t="n">
        <v>0</v>
      </c>
      <c r="J86" s="2" t="inlineStr"/>
    </row>
    <row r="87">
      <c r="A87" s="3" t="inlineStr">
        <is>
          <t>EML-1084</t>
        </is>
      </c>
      <c r="B87" s="3" t="inlineStr">
        <is>
          <t>STU-084</t>
        </is>
      </c>
      <c r="C87" s="3" t="inlineStr">
        <is>
          <t>student084@example-interns.edu</t>
        </is>
      </c>
      <c r="D87" s="3" t="inlineStr">
        <is>
          <t>Task Allocation</t>
        </is>
      </c>
      <c r="E87" s="3" t="inlineStr">
        <is>
          <t>[TASK-CYBR-602] Official Assignment &amp; Internship Instructions</t>
        </is>
      </c>
      <c r="F87" s="3" t="inlineStr">
        <is>
          <t>2026-10-26 11:19</t>
        </is>
      </c>
      <c r="G87" s="3" t="inlineStr">
        <is>
          <t>Sent</t>
        </is>
      </c>
      <c r="H87" s="3" t="inlineStr"/>
      <c r="I87" s="3" t="n">
        <v>0</v>
      </c>
      <c r="J87" s="3" t="inlineStr"/>
    </row>
    <row r="88">
      <c r="A88" s="2" t="inlineStr">
        <is>
          <t>EML-1091</t>
        </is>
      </c>
      <c r="B88" s="2" t="inlineStr">
        <is>
          <t>STU-091</t>
        </is>
      </c>
      <c r="C88" s="2" t="inlineStr">
        <is>
          <t>student091@example-interns.edu</t>
        </is>
      </c>
      <c r="D88" s="2" t="inlineStr">
        <is>
          <t>Task Allocation</t>
        </is>
      </c>
      <c r="E88" s="2" t="inlineStr">
        <is>
          <t>[TASK-AIML-101] Official Assignment &amp; Internship Instructions</t>
        </is>
      </c>
      <c r="F88" s="2" t="inlineStr">
        <is>
          <t>2026-10-26 11:19</t>
        </is>
      </c>
      <c r="G88" s="2" t="inlineStr">
        <is>
          <t>Sent</t>
        </is>
      </c>
      <c r="H88" s="2" t="inlineStr"/>
      <c r="I88" s="2" t="n">
        <v>0</v>
      </c>
      <c r="J88" s="2" t="inlineStr"/>
    </row>
    <row r="89">
      <c r="A89" s="3" t="inlineStr">
        <is>
          <t>EML-1098</t>
        </is>
      </c>
      <c r="B89" s="3" t="inlineStr">
        <is>
          <t>STU-098</t>
        </is>
      </c>
      <c r="C89" s="3" t="inlineStr">
        <is>
          <t>student098@example-interns.edu</t>
        </is>
      </c>
      <c r="D89" s="3" t="inlineStr">
        <is>
          <t>Task Allocation</t>
        </is>
      </c>
      <c r="E89" s="3" t="inlineStr">
        <is>
          <t>[TASK-FSWD-202] Official Assignment &amp; Internship Instructions</t>
        </is>
      </c>
      <c r="F89" s="3" t="inlineStr">
        <is>
          <t>2026-10-26 11:19</t>
        </is>
      </c>
      <c r="G89" s="3" t="inlineStr">
        <is>
          <t>Failed</t>
        </is>
      </c>
      <c r="H89" s="3" t="inlineStr">
        <is>
          <t>SMTP Mailbox Full / Temporary Network Timeout</t>
        </is>
      </c>
      <c r="I89" s="3" t="n">
        <v>2</v>
      </c>
      <c r="J89" s="3" t="inlineStr"/>
    </row>
    <row r="90">
      <c r="A90" s="2" t="inlineStr">
        <is>
          <t>EML-1001</t>
        </is>
      </c>
      <c r="B90" s="2" t="inlineStr">
        <is>
          <t>STU-001</t>
        </is>
      </c>
      <c r="C90" s="2" t="inlineStr">
        <is>
          <t>kasthurikumar1105@gmail.com</t>
        </is>
      </c>
      <c r="D90" s="2" t="inlineStr">
        <is>
          <t>Review Feedback &amp; Follow-up</t>
        </is>
      </c>
      <c r="E90" s="2" t="inlineStr">
        <is>
          <t>Review #2 Feedback &amp; Evaluation Report</t>
        </is>
      </c>
      <c r="F90" s="2" t="inlineStr">
        <is>
          <t>2026-10-25 11:19</t>
        </is>
      </c>
      <c r="G90" s="2" t="inlineStr">
        <is>
          <t>Sent</t>
        </is>
      </c>
      <c r="H90" s="2" t="inlineStr"/>
      <c r="I90" s="2" t="n">
        <v>0</v>
      </c>
      <c r="J90" s="2" t="inlineStr">
        <is>
          <t>REV-STU-001-1</t>
        </is>
      </c>
    </row>
    <row r="91">
      <c r="A91" s="3" t="inlineStr">
        <is>
          <t>EML-1008</t>
        </is>
      </c>
      <c r="B91" s="3" t="inlineStr">
        <is>
          <t>STU-008</t>
        </is>
      </c>
      <c r="C91" s="3" t="inlineStr">
        <is>
          <t>student008@example-interns.edu</t>
        </is>
      </c>
      <c r="D91" s="3" t="inlineStr">
        <is>
          <t>Review Feedback &amp; Follow-up</t>
        </is>
      </c>
      <c r="E91" s="3" t="inlineStr">
        <is>
          <t>Review #2 Feedback &amp; Evaluation Report</t>
        </is>
      </c>
      <c r="F91" s="3" t="inlineStr">
        <is>
          <t>2026-10-25 11:19</t>
        </is>
      </c>
      <c r="G91" s="3" t="inlineStr">
        <is>
          <t>Sent</t>
        </is>
      </c>
      <c r="H91" s="3" t="inlineStr"/>
      <c r="I91" s="3" t="n">
        <v>0</v>
      </c>
      <c r="J91" s="3" t="inlineStr">
        <is>
          <t>REV-STU-008-1</t>
        </is>
      </c>
    </row>
    <row r="92">
      <c r="A92" s="2" t="inlineStr">
        <is>
          <t>EML-1015</t>
        </is>
      </c>
      <c r="B92" s="2" t="inlineStr">
        <is>
          <t>STU-015</t>
        </is>
      </c>
      <c r="C92" s="2" t="inlineStr">
        <is>
          <t>student015@example-interns.edu</t>
        </is>
      </c>
      <c r="D92" s="2" t="inlineStr">
        <is>
          <t>Review Feedback &amp; Follow-up</t>
        </is>
      </c>
      <c r="E92" s="2" t="inlineStr">
        <is>
          <t>Review #2 Feedback &amp; Evaluation Report</t>
        </is>
      </c>
      <c r="F92" s="2" t="inlineStr">
        <is>
          <t>2026-10-25 11:19</t>
        </is>
      </c>
      <c r="G92" s="2" t="inlineStr">
        <is>
          <t>Sent</t>
        </is>
      </c>
      <c r="H92" s="2" t="inlineStr"/>
      <c r="I92" s="2" t="n">
        <v>0</v>
      </c>
      <c r="J92" s="2" t="inlineStr">
        <is>
          <t>REV-STU-015-1</t>
        </is>
      </c>
    </row>
    <row r="93">
      <c r="A93" s="3" t="inlineStr">
        <is>
          <t>EML-1022</t>
        </is>
      </c>
      <c r="B93" s="3" t="inlineStr">
        <is>
          <t>STU-022</t>
        </is>
      </c>
      <c r="C93" s="3" t="inlineStr">
        <is>
          <t>student022@example-interns.edu</t>
        </is>
      </c>
      <c r="D93" s="3" t="inlineStr">
        <is>
          <t>Review Feedback &amp; Follow-up</t>
        </is>
      </c>
      <c r="E93" s="3" t="inlineStr">
        <is>
          <t>Review #1 Feedback &amp; Evaluation Report</t>
        </is>
      </c>
      <c r="F93" s="3" t="inlineStr">
        <is>
          <t>2026-10-25 11:19</t>
        </is>
      </c>
      <c r="G93" s="3" t="inlineStr">
        <is>
          <t>Sent</t>
        </is>
      </c>
      <c r="H93" s="3" t="inlineStr"/>
      <c r="I93" s="3" t="n">
        <v>0</v>
      </c>
      <c r="J93" s="3" t="inlineStr">
        <is>
          <t>REV-STU-022-1</t>
        </is>
      </c>
    </row>
    <row r="94">
      <c r="A94" s="2" t="inlineStr">
        <is>
          <t>EML-1029</t>
        </is>
      </c>
      <c r="B94" s="2" t="inlineStr">
        <is>
          <t>STU-029</t>
        </is>
      </c>
      <c r="C94" s="2" t="inlineStr">
        <is>
          <t>student029@example-interns.edu</t>
        </is>
      </c>
      <c r="D94" s="2" t="inlineStr">
        <is>
          <t>Review Feedback &amp; Follow-up</t>
        </is>
      </c>
      <c r="E94" s="2" t="inlineStr">
        <is>
          <t>Review #1 Feedback &amp; Evaluation Report</t>
        </is>
      </c>
      <c r="F94" s="2" t="inlineStr">
        <is>
          <t>2026-10-25 11:19</t>
        </is>
      </c>
      <c r="G94" s="2" t="inlineStr">
        <is>
          <t>Sent</t>
        </is>
      </c>
      <c r="H94" s="2" t="inlineStr"/>
      <c r="I94" s="2" t="n">
        <v>0</v>
      </c>
      <c r="J94" s="2" t="inlineStr">
        <is>
          <t>REV-STU-029-1</t>
        </is>
      </c>
    </row>
    <row r="95">
      <c r="A95" s="3" t="inlineStr">
        <is>
          <t>EML-1036</t>
        </is>
      </c>
      <c r="B95" s="3" t="inlineStr">
        <is>
          <t>STU-036</t>
        </is>
      </c>
      <c r="C95" s="3" t="inlineStr">
        <is>
          <t>student036@example-interns.edu</t>
        </is>
      </c>
      <c r="D95" s="3" t="inlineStr">
        <is>
          <t>Review Feedback &amp; Follow-up</t>
        </is>
      </c>
      <c r="E95" s="3" t="inlineStr">
        <is>
          <t>Review #1 Feedback &amp; Evaluation Report</t>
        </is>
      </c>
      <c r="F95" s="3" t="inlineStr">
        <is>
          <t>2026-10-25 11:19</t>
        </is>
      </c>
      <c r="G95" s="3" t="inlineStr">
        <is>
          <t>Sent</t>
        </is>
      </c>
      <c r="H95" s="3" t="inlineStr"/>
      <c r="I95" s="3" t="n">
        <v>0</v>
      </c>
      <c r="J95" s="3" t="inlineStr">
        <is>
          <t>REV-STU-036-1</t>
        </is>
      </c>
    </row>
    <row r="96">
      <c r="A96" s="2" t="inlineStr">
        <is>
          <t>EML-1043</t>
        </is>
      </c>
      <c r="B96" s="2" t="inlineStr">
        <is>
          <t>STU-043</t>
        </is>
      </c>
      <c r="C96" s="2" t="inlineStr">
        <is>
          <t>student043@example-interns.edu</t>
        </is>
      </c>
      <c r="D96" s="2" t="inlineStr">
        <is>
          <t>Review Feedback &amp; Follow-up</t>
        </is>
      </c>
      <c r="E96" s="2" t="inlineStr">
        <is>
          <t>Review #1 Feedback &amp; Evaluation Report</t>
        </is>
      </c>
      <c r="F96" s="2" t="inlineStr">
        <is>
          <t>2026-10-25 11:19</t>
        </is>
      </c>
      <c r="G96" s="2" t="inlineStr">
        <is>
          <t>Sent</t>
        </is>
      </c>
      <c r="H96" s="2" t="inlineStr"/>
      <c r="I96" s="2" t="n">
        <v>0</v>
      </c>
      <c r="J96" s="2" t="inlineStr">
        <is>
          <t>REV-STU-043-1</t>
        </is>
      </c>
    </row>
    <row r="97">
      <c r="A97" s="3" t="inlineStr">
        <is>
          <t>EML-1050</t>
        </is>
      </c>
      <c r="B97" s="3" t="inlineStr">
        <is>
          <t>STU-050</t>
        </is>
      </c>
      <c r="C97" s="3" t="inlineStr">
        <is>
          <t>student050@example-interns.edu</t>
        </is>
      </c>
      <c r="D97" s="3" t="inlineStr">
        <is>
          <t>Review Feedback &amp; Follow-up</t>
        </is>
      </c>
      <c r="E97" s="3" t="inlineStr">
        <is>
          <t>Review #1 Feedback &amp; Evaluation Report</t>
        </is>
      </c>
      <c r="F97" s="3" t="inlineStr">
        <is>
          <t>2026-10-25 11:19</t>
        </is>
      </c>
      <c r="G97" s="3" t="inlineStr">
        <is>
          <t>Sent</t>
        </is>
      </c>
      <c r="H97" s="3" t="inlineStr"/>
      <c r="I97" s="3" t="n">
        <v>0</v>
      </c>
      <c r="J97" s="3" t="inlineStr">
        <is>
          <t>REV-STU-050-1</t>
        </is>
      </c>
    </row>
    <row r="98">
      <c r="A98" s="2" t="inlineStr">
        <is>
          <t>EML-1057</t>
        </is>
      </c>
      <c r="B98" s="2" t="inlineStr">
        <is>
          <t>STU-057</t>
        </is>
      </c>
      <c r="C98" s="2" t="inlineStr">
        <is>
          <t>student057@example-interns.edu</t>
        </is>
      </c>
      <c r="D98" s="2" t="inlineStr">
        <is>
          <t>Review Feedback &amp; Follow-up</t>
        </is>
      </c>
      <c r="E98" s="2" t="inlineStr">
        <is>
          <t>Review #1 Feedback &amp; Evaluation Report</t>
        </is>
      </c>
      <c r="F98" s="2" t="inlineStr">
        <is>
          <t>2026-10-25 11:19</t>
        </is>
      </c>
      <c r="G98" s="2" t="inlineStr">
        <is>
          <t>Sent</t>
        </is>
      </c>
      <c r="H98" s="2" t="inlineStr"/>
      <c r="I98" s="2" t="n">
        <v>0</v>
      </c>
      <c r="J98" s="2" t="inlineStr">
        <is>
          <t>REV-STU-057-1</t>
        </is>
      </c>
    </row>
    <row r="99">
      <c r="A99" s="3" t="inlineStr">
        <is>
          <t>EML-1064</t>
        </is>
      </c>
      <c r="B99" s="3" t="inlineStr">
        <is>
          <t>STU-064</t>
        </is>
      </c>
      <c r="C99" s="3" t="inlineStr">
        <is>
          <t>student064@example-interns.edu</t>
        </is>
      </c>
      <c r="D99" s="3" t="inlineStr">
        <is>
          <t>Task Allocation</t>
        </is>
      </c>
      <c r="E99" s="3" t="inlineStr">
        <is>
          <t>[TASK-DEVO-402] Official Assignment &amp; Internship Instructions</t>
        </is>
      </c>
      <c r="F99" s="3" t="inlineStr">
        <is>
          <t>2026-10-25 11:19</t>
        </is>
      </c>
      <c r="G99" s="3" t="inlineStr">
        <is>
          <t>Sent</t>
        </is>
      </c>
      <c r="H99" s="3" t="inlineStr"/>
      <c r="I99" s="3" t="n">
        <v>0</v>
      </c>
      <c r="J99" s="3" t="inlineStr"/>
    </row>
    <row r="100">
      <c r="A100" s="2" t="inlineStr">
        <is>
          <t>EML-1071</t>
        </is>
      </c>
      <c r="B100" s="2" t="inlineStr">
        <is>
          <t>STU-071</t>
        </is>
      </c>
      <c r="C100" s="2" t="inlineStr">
        <is>
          <t>student071@example-interns.edu</t>
        </is>
      </c>
      <c r="D100" s="2" t="inlineStr">
        <is>
          <t>Task Allocation</t>
        </is>
      </c>
      <c r="E100" s="2" t="inlineStr">
        <is>
          <t>[TASK-MOBL-501] Official Assignment &amp; Internship Instructions</t>
        </is>
      </c>
      <c r="F100" s="2" t="inlineStr">
        <is>
          <t>2026-10-25 11:19</t>
        </is>
      </c>
      <c r="G100" s="2" t="inlineStr">
        <is>
          <t>Sent</t>
        </is>
      </c>
      <c r="H100" s="2" t="inlineStr"/>
      <c r="I100" s="2" t="n">
        <v>0</v>
      </c>
      <c r="J100" s="2" t="inlineStr"/>
    </row>
    <row r="101">
      <c r="A101" s="3" t="inlineStr">
        <is>
          <t>EML-1078</t>
        </is>
      </c>
      <c r="B101" s="3" t="inlineStr">
        <is>
          <t>STU-078</t>
        </is>
      </c>
      <c r="C101" s="3" t="inlineStr">
        <is>
          <t>student078@example-interns.edu</t>
        </is>
      </c>
      <c r="D101" s="3" t="inlineStr">
        <is>
          <t>Task Allocation</t>
        </is>
      </c>
      <c r="E101" s="3" t="inlineStr">
        <is>
          <t>[TASK-CYBR-602] Official Assignment &amp; Internship Instructions</t>
        </is>
      </c>
      <c r="F101" s="3" t="inlineStr">
        <is>
          <t>2026-10-25 11:19</t>
        </is>
      </c>
      <c r="G101" s="3" t="inlineStr">
        <is>
          <t>Sent</t>
        </is>
      </c>
      <c r="H101" s="3" t="inlineStr"/>
      <c r="I101" s="3" t="n">
        <v>0</v>
      </c>
      <c r="J101" s="3" t="inlineStr"/>
    </row>
    <row r="102">
      <c r="A102" s="2" t="inlineStr">
        <is>
          <t>EML-1085</t>
        </is>
      </c>
      <c r="B102" s="2" t="inlineStr">
        <is>
          <t>STU-085</t>
        </is>
      </c>
      <c r="C102" s="2" t="inlineStr">
        <is>
          <t>student085@example-interns.edu</t>
        </is>
      </c>
      <c r="D102" s="2" t="inlineStr">
        <is>
          <t>Task Allocation</t>
        </is>
      </c>
      <c r="E102" s="2" t="inlineStr">
        <is>
          <t>[TASK-AIML-101] Official Assignment &amp; Internship Instructions</t>
        </is>
      </c>
      <c r="F102" s="2" t="inlineStr">
        <is>
          <t>2026-10-25 11:19</t>
        </is>
      </c>
      <c r="G102" s="2" t="inlineStr">
        <is>
          <t>Sent</t>
        </is>
      </c>
      <c r="H102" s="2" t="inlineStr"/>
      <c r="I102" s="2" t="n">
        <v>0</v>
      </c>
      <c r="J102" s="2" t="inlineStr"/>
    </row>
    <row r="103">
      <c r="A103" s="3" t="inlineStr">
        <is>
          <t>EML-1092</t>
        </is>
      </c>
      <c r="B103" s="3" t="inlineStr">
        <is>
          <t>STU-092</t>
        </is>
      </c>
      <c r="C103" s="3" t="inlineStr">
        <is>
          <t>student092@example-interns.edu</t>
        </is>
      </c>
      <c r="D103" s="3" t="inlineStr">
        <is>
          <t>Task Allocation</t>
        </is>
      </c>
      <c r="E103" s="3" t="inlineStr">
        <is>
          <t>[TASK-FSWD-202] Official Assignment &amp; Internship Instructions</t>
        </is>
      </c>
      <c r="F103" s="3" t="inlineStr">
        <is>
          <t>2026-10-25 11:19</t>
        </is>
      </c>
      <c r="G103" s="3" t="inlineStr">
        <is>
          <t>Sent</t>
        </is>
      </c>
      <c r="H103" s="3" t="inlineStr"/>
      <c r="I103" s="3" t="n">
        <v>0</v>
      </c>
      <c r="J103" s="3" t="inlineStr"/>
    </row>
    <row r="104">
      <c r="A104" s="2" t="inlineStr">
        <is>
          <t>EML-1099</t>
        </is>
      </c>
      <c r="B104" s="2" t="inlineStr">
        <is>
          <t>STU-099</t>
        </is>
      </c>
      <c r="C104" s="2" t="inlineStr">
        <is>
          <t>student099@example-interns.edu</t>
        </is>
      </c>
      <c r="D104" s="2" t="inlineStr">
        <is>
          <t>Task Allocation</t>
        </is>
      </c>
      <c r="E104" s="2" t="inlineStr">
        <is>
          <t>[TASK-DATA-301] Official Assignment &amp; Internship Instructions</t>
        </is>
      </c>
      <c r="F104" s="2" t="inlineStr">
        <is>
          <t>2026-10-25 11:19</t>
        </is>
      </c>
      <c r="G104" s="2" t="inlineStr">
        <is>
          <t>Failed</t>
        </is>
      </c>
      <c r="H104" s="2" t="inlineStr">
        <is>
          <t>SMTP Mailbox Full / Temporary Network Timeout</t>
        </is>
      </c>
      <c r="I104" s="2" t="n">
        <v>2</v>
      </c>
      <c r="J104" s="2" t="inlineStr"/>
    </row>
    <row r="105">
      <c r="A105" s="3" t="inlineStr">
        <is>
          <t>EML-1002</t>
        </is>
      </c>
      <c r="B105" s="3" t="inlineStr">
        <is>
          <t>STU-002</t>
        </is>
      </c>
      <c r="C105" s="3" t="inlineStr">
        <is>
          <t>student002@example-interns.edu</t>
        </is>
      </c>
      <c r="D105" s="3" t="inlineStr">
        <is>
          <t>Review Feedback &amp; Follow-up</t>
        </is>
      </c>
      <c r="E105" s="3" t="inlineStr">
        <is>
          <t>Review #2 Feedback &amp; Evaluation Report</t>
        </is>
      </c>
      <c r="F105" s="3" t="inlineStr">
        <is>
          <t>2026-10-24 11:19</t>
        </is>
      </c>
      <c r="G105" s="3" t="inlineStr">
        <is>
          <t>Sent</t>
        </is>
      </c>
      <c r="H105" s="3" t="inlineStr"/>
      <c r="I105" s="3" t="n">
        <v>0</v>
      </c>
      <c r="J105" s="3" t="inlineStr">
        <is>
          <t>REV-STU-002-1</t>
        </is>
      </c>
    </row>
    <row r="106">
      <c r="A106" s="2" t="inlineStr">
        <is>
          <t>EML-1009</t>
        </is>
      </c>
      <c r="B106" s="2" t="inlineStr">
        <is>
          <t>STU-009</t>
        </is>
      </c>
      <c r="C106" s="2" t="inlineStr">
        <is>
          <t>student009@example-interns.edu</t>
        </is>
      </c>
      <c r="D106" s="2" t="inlineStr">
        <is>
          <t>Review Feedback &amp; Follow-up</t>
        </is>
      </c>
      <c r="E106" s="2" t="inlineStr">
        <is>
          <t>Review #2 Feedback &amp; Evaluation Report</t>
        </is>
      </c>
      <c r="F106" s="2" t="inlineStr">
        <is>
          <t>2026-10-24 11:19</t>
        </is>
      </c>
      <c r="G106" s="2" t="inlineStr">
        <is>
          <t>Sent</t>
        </is>
      </c>
      <c r="H106" s="2" t="inlineStr"/>
      <c r="I106" s="2" t="n">
        <v>0</v>
      </c>
      <c r="J106" s="2" t="inlineStr">
        <is>
          <t>REV-STU-009-1</t>
        </is>
      </c>
    </row>
    <row r="107">
      <c r="A107" s="3" t="inlineStr">
        <is>
          <t>EML-1016</t>
        </is>
      </c>
      <c r="B107" s="3" t="inlineStr">
        <is>
          <t>STU-016</t>
        </is>
      </c>
      <c r="C107" s="3" t="inlineStr">
        <is>
          <t>student016@example-interns.edu</t>
        </is>
      </c>
      <c r="D107" s="3" t="inlineStr">
        <is>
          <t>Review Feedback &amp; Follow-up</t>
        </is>
      </c>
      <c r="E107" s="3" t="inlineStr">
        <is>
          <t>Review #2 Feedback &amp; Evaluation Report</t>
        </is>
      </c>
      <c r="F107" s="3" t="inlineStr">
        <is>
          <t>2026-10-24 11:19</t>
        </is>
      </c>
      <c r="G107" s="3" t="inlineStr">
        <is>
          <t>Sent</t>
        </is>
      </c>
      <c r="H107" s="3" t="inlineStr"/>
      <c r="I107" s="3" t="n">
        <v>0</v>
      </c>
      <c r="J107" s="3" t="inlineStr">
        <is>
          <t>REV-STU-016-1</t>
        </is>
      </c>
    </row>
    <row r="108">
      <c r="A108" s="2" t="inlineStr">
        <is>
          <t>EML-1023</t>
        </is>
      </c>
      <c r="B108" s="2" t="inlineStr">
        <is>
          <t>STU-023</t>
        </is>
      </c>
      <c r="C108" s="2" t="inlineStr">
        <is>
          <t>student023@example-interns.edu</t>
        </is>
      </c>
      <c r="D108" s="2" t="inlineStr">
        <is>
          <t>Review Feedback &amp; Follow-up</t>
        </is>
      </c>
      <c r="E108" s="2" t="inlineStr">
        <is>
          <t>Review #1 Feedback &amp; Evaluation Report</t>
        </is>
      </c>
      <c r="F108" s="2" t="inlineStr">
        <is>
          <t>2026-10-24 11:19</t>
        </is>
      </c>
      <c r="G108" s="2" t="inlineStr">
        <is>
          <t>Sent</t>
        </is>
      </c>
      <c r="H108" s="2" t="inlineStr"/>
      <c r="I108" s="2" t="n">
        <v>0</v>
      </c>
      <c r="J108" s="2" t="inlineStr">
        <is>
          <t>REV-STU-023-1</t>
        </is>
      </c>
    </row>
    <row r="109">
      <c r="A109" s="3" t="inlineStr">
        <is>
          <t>EML-1030</t>
        </is>
      </c>
      <c r="B109" s="3" t="inlineStr">
        <is>
          <t>STU-030</t>
        </is>
      </c>
      <c r="C109" s="3" t="inlineStr">
        <is>
          <t>student030@example-interns.edu</t>
        </is>
      </c>
      <c r="D109" s="3" t="inlineStr">
        <is>
          <t>Review Feedback &amp; Follow-up</t>
        </is>
      </c>
      <c r="E109" s="3" t="inlineStr">
        <is>
          <t>Review #1 Feedback &amp; Evaluation Report</t>
        </is>
      </c>
      <c r="F109" s="3" t="inlineStr">
        <is>
          <t>2026-10-24 11:19</t>
        </is>
      </c>
      <c r="G109" s="3" t="inlineStr">
        <is>
          <t>Sent</t>
        </is>
      </c>
      <c r="H109" s="3" t="inlineStr"/>
      <c r="I109" s="3" t="n">
        <v>0</v>
      </c>
      <c r="J109" s="3" t="inlineStr">
        <is>
          <t>REV-STU-030-1</t>
        </is>
      </c>
    </row>
    <row r="110">
      <c r="A110" s="2" t="inlineStr">
        <is>
          <t>EML-1037</t>
        </is>
      </c>
      <c r="B110" s="2" t="inlineStr">
        <is>
          <t>STU-037</t>
        </is>
      </c>
      <c r="C110" s="2" t="inlineStr">
        <is>
          <t>student037@example-interns.edu</t>
        </is>
      </c>
      <c r="D110" s="2" t="inlineStr">
        <is>
          <t>Review Feedback &amp; Follow-up</t>
        </is>
      </c>
      <c r="E110" s="2" t="inlineStr">
        <is>
          <t>Review #1 Feedback &amp; Evaluation Report</t>
        </is>
      </c>
      <c r="F110" s="2" t="inlineStr">
        <is>
          <t>2026-10-24 11:19</t>
        </is>
      </c>
      <c r="G110" s="2" t="inlineStr">
        <is>
          <t>Sent</t>
        </is>
      </c>
      <c r="H110" s="2" t="inlineStr"/>
      <c r="I110" s="2" t="n">
        <v>0</v>
      </c>
      <c r="J110" s="2" t="inlineStr">
        <is>
          <t>REV-STU-037-1</t>
        </is>
      </c>
    </row>
    <row r="111">
      <c r="A111" s="3" t="inlineStr">
        <is>
          <t>EML-1044</t>
        </is>
      </c>
      <c r="B111" s="3" t="inlineStr">
        <is>
          <t>STU-044</t>
        </is>
      </c>
      <c r="C111" s="3" t="inlineStr">
        <is>
          <t>student044@example-interns.edu</t>
        </is>
      </c>
      <c r="D111" s="3" t="inlineStr">
        <is>
          <t>Review Feedback &amp; Follow-up</t>
        </is>
      </c>
      <c r="E111" s="3" t="inlineStr">
        <is>
          <t>Review #1 Feedback &amp; Evaluation Report</t>
        </is>
      </c>
      <c r="F111" s="3" t="inlineStr">
        <is>
          <t>2026-10-24 11:19</t>
        </is>
      </c>
      <c r="G111" s="3" t="inlineStr">
        <is>
          <t>Sent</t>
        </is>
      </c>
      <c r="H111" s="3" t="inlineStr"/>
      <c r="I111" s="3" t="n">
        <v>0</v>
      </c>
      <c r="J111" s="3" t="inlineStr">
        <is>
          <t>REV-STU-044-1</t>
        </is>
      </c>
    </row>
    <row r="112">
      <c r="A112" s="2" t="inlineStr">
        <is>
          <t>EML-1051</t>
        </is>
      </c>
      <c r="B112" s="2" t="inlineStr">
        <is>
          <t>STU-051</t>
        </is>
      </c>
      <c r="C112" s="2" t="inlineStr">
        <is>
          <t>student051@example-interns.edu</t>
        </is>
      </c>
      <c r="D112" s="2" t="inlineStr">
        <is>
          <t>Review Feedback &amp; Follow-up</t>
        </is>
      </c>
      <c r="E112" s="2" t="inlineStr">
        <is>
          <t>Review #1 Feedback &amp; Evaluation Report</t>
        </is>
      </c>
      <c r="F112" s="2" t="inlineStr">
        <is>
          <t>2026-10-24 11:19</t>
        </is>
      </c>
      <c r="G112" s="2" t="inlineStr">
        <is>
          <t>Sent</t>
        </is>
      </c>
      <c r="H112" s="2" t="inlineStr"/>
      <c r="I112" s="2" t="n">
        <v>0</v>
      </c>
      <c r="J112" s="2" t="inlineStr">
        <is>
          <t>REV-STU-051-1</t>
        </is>
      </c>
    </row>
    <row r="113">
      <c r="A113" s="3" t="inlineStr">
        <is>
          <t>EML-1058</t>
        </is>
      </c>
      <c r="B113" s="3" t="inlineStr">
        <is>
          <t>STU-058</t>
        </is>
      </c>
      <c r="C113" s="3" t="inlineStr">
        <is>
          <t>student058@example-interns.edu</t>
        </is>
      </c>
      <c r="D113" s="3" t="inlineStr">
        <is>
          <t>Review Feedback &amp; Follow-up</t>
        </is>
      </c>
      <c r="E113" s="3" t="inlineStr">
        <is>
          <t>Review #1 Feedback &amp; Evaluation Report</t>
        </is>
      </c>
      <c r="F113" s="3" t="inlineStr">
        <is>
          <t>2026-10-24 11:19</t>
        </is>
      </c>
      <c r="G113" s="3" t="inlineStr">
        <is>
          <t>Sent</t>
        </is>
      </c>
      <c r="H113" s="3" t="inlineStr"/>
      <c r="I113" s="3" t="n">
        <v>0</v>
      </c>
      <c r="J113" s="3" t="inlineStr">
        <is>
          <t>REV-STU-058-1</t>
        </is>
      </c>
    </row>
    <row r="114">
      <c r="A114" s="2" t="inlineStr">
        <is>
          <t>EML-1065</t>
        </is>
      </c>
      <c r="B114" s="2" t="inlineStr">
        <is>
          <t>STU-065</t>
        </is>
      </c>
      <c r="C114" s="2" t="inlineStr">
        <is>
          <t>student065@example-interns.edu</t>
        </is>
      </c>
      <c r="D114" s="2" t="inlineStr">
        <is>
          <t>Task Allocation</t>
        </is>
      </c>
      <c r="E114" s="2" t="inlineStr">
        <is>
          <t>[TASK-MOBL-501] Official Assignment &amp; Internship Instructions</t>
        </is>
      </c>
      <c r="F114" s="2" t="inlineStr">
        <is>
          <t>2026-10-24 11:19</t>
        </is>
      </c>
      <c r="G114" s="2" t="inlineStr">
        <is>
          <t>Sent</t>
        </is>
      </c>
      <c r="H114" s="2" t="inlineStr"/>
      <c r="I114" s="2" t="n">
        <v>0</v>
      </c>
      <c r="J114" s="2" t="inlineStr"/>
    </row>
    <row r="115">
      <c r="A115" s="3" t="inlineStr">
        <is>
          <t>EML-1072</t>
        </is>
      </c>
      <c r="B115" s="3" t="inlineStr">
        <is>
          <t>STU-072</t>
        </is>
      </c>
      <c r="C115" s="3" t="inlineStr">
        <is>
          <t>student072@example-interns.edu</t>
        </is>
      </c>
      <c r="D115" s="3" t="inlineStr">
        <is>
          <t>Task Allocation</t>
        </is>
      </c>
      <c r="E115" s="3" t="inlineStr">
        <is>
          <t>[TASK-CYBR-602] Official Assignment &amp; Internship Instructions</t>
        </is>
      </c>
      <c r="F115" s="3" t="inlineStr">
        <is>
          <t>2026-10-24 11:19</t>
        </is>
      </c>
      <c r="G115" s="3" t="inlineStr">
        <is>
          <t>Sent</t>
        </is>
      </c>
      <c r="H115" s="3" t="inlineStr"/>
      <c r="I115" s="3" t="n">
        <v>0</v>
      </c>
      <c r="J115" s="3" t="inlineStr"/>
    </row>
    <row r="116">
      <c r="A116" s="2" t="inlineStr">
        <is>
          <t>EML-1079</t>
        </is>
      </c>
      <c r="B116" s="2" t="inlineStr">
        <is>
          <t>STU-079</t>
        </is>
      </c>
      <c r="C116" s="2" t="inlineStr">
        <is>
          <t>student079@example-interns.edu</t>
        </is>
      </c>
      <c r="D116" s="2" t="inlineStr">
        <is>
          <t>Task Allocation</t>
        </is>
      </c>
      <c r="E116" s="2" t="inlineStr">
        <is>
          <t>[TASK-AIML-101] Official Assignment &amp; Internship Instructions</t>
        </is>
      </c>
      <c r="F116" s="2" t="inlineStr">
        <is>
          <t>2026-10-24 11:19</t>
        </is>
      </c>
      <c r="G116" s="2" t="inlineStr">
        <is>
          <t>Sent</t>
        </is>
      </c>
      <c r="H116" s="2" t="inlineStr"/>
      <c r="I116" s="2" t="n">
        <v>0</v>
      </c>
      <c r="J116" s="2" t="inlineStr"/>
    </row>
    <row r="117">
      <c r="A117" s="3" t="inlineStr">
        <is>
          <t>EML-1086</t>
        </is>
      </c>
      <c r="B117" s="3" t="inlineStr">
        <is>
          <t>STU-086</t>
        </is>
      </c>
      <c r="C117" s="3" t="inlineStr">
        <is>
          <t>student086@example-interns.edu</t>
        </is>
      </c>
      <c r="D117" s="3" t="inlineStr">
        <is>
          <t>Task Allocation</t>
        </is>
      </c>
      <c r="E117" s="3" t="inlineStr">
        <is>
          <t>[TASK-FSWD-202] Official Assignment &amp; Internship Instructions</t>
        </is>
      </c>
      <c r="F117" s="3" t="inlineStr">
        <is>
          <t>2026-10-24 11:19</t>
        </is>
      </c>
      <c r="G117" s="3" t="inlineStr">
        <is>
          <t>Sent</t>
        </is>
      </c>
      <c r="H117" s="3" t="inlineStr"/>
      <c r="I117" s="3" t="n">
        <v>0</v>
      </c>
      <c r="J117" s="3" t="inlineStr"/>
    </row>
    <row r="118">
      <c r="A118" s="2" t="inlineStr">
        <is>
          <t>EML-1093</t>
        </is>
      </c>
      <c r="B118" s="2" t="inlineStr">
        <is>
          <t>STU-093</t>
        </is>
      </c>
      <c r="C118" s="2" t="inlineStr">
        <is>
          <t>student093@example-interns.edu</t>
        </is>
      </c>
      <c r="D118" s="2" t="inlineStr">
        <is>
          <t>Task Allocation</t>
        </is>
      </c>
      <c r="E118" s="2" t="inlineStr">
        <is>
          <t>[TASK-DATA-301] Official Assignment &amp; Internship Instructions</t>
        </is>
      </c>
      <c r="F118" s="2" t="inlineStr">
        <is>
          <t>2026-10-24 11:19</t>
        </is>
      </c>
      <c r="G118" s="2" t="inlineStr">
        <is>
          <t>Sent</t>
        </is>
      </c>
      <c r="H118" s="2" t="inlineStr"/>
      <c r="I118" s="2" t="n">
        <v>0</v>
      </c>
      <c r="J118" s="2" t="inlineStr"/>
    </row>
    <row r="119">
      <c r="A119" s="3" t="inlineStr">
        <is>
          <t>EML-1100</t>
        </is>
      </c>
      <c r="B119" s="3" t="inlineStr">
        <is>
          <t>STU-100</t>
        </is>
      </c>
      <c r="C119" s="3" t="inlineStr">
        <is>
          <t>student100@example-interns.edu</t>
        </is>
      </c>
      <c r="D119" s="3" t="inlineStr">
        <is>
          <t>Task Allocation</t>
        </is>
      </c>
      <c r="E119" s="3" t="inlineStr">
        <is>
          <t>[TASK-DEVO-402] Official Assignment &amp; Internship Instructions</t>
        </is>
      </c>
      <c r="F119" s="3" t="inlineStr">
        <is>
          <t>2026-10-24 11:19</t>
        </is>
      </c>
      <c r="G119" s="3" t="inlineStr">
        <is>
          <t>Failed</t>
        </is>
      </c>
      <c r="H119" s="3" t="inlineStr">
        <is>
          <t>SMTP Mailbox Full / Temporary Network Timeout</t>
        </is>
      </c>
      <c r="I119" s="3" t="n">
        <v>2</v>
      </c>
      <c r="J119" s="3" t="inlineStr"/>
    </row>
    <row r="120">
      <c r="A120" s="2" t="inlineStr">
        <is>
          <t>EML-1003</t>
        </is>
      </c>
      <c r="B120" s="2" t="inlineStr">
        <is>
          <t>STU-003</t>
        </is>
      </c>
      <c r="C120" s="2" t="inlineStr">
        <is>
          <t>student003@example-interns.edu</t>
        </is>
      </c>
      <c r="D120" s="2" t="inlineStr">
        <is>
          <t>Review Feedback &amp; Follow-up</t>
        </is>
      </c>
      <c r="E120" s="2" t="inlineStr">
        <is>
          <t>Review #2 Feedback &amp; Evaluation Report</t>
        </is>
      </c>
      <c r="F120" s="2" t="inlineStr">
        <is>
          <t>2026-10-23 11:19</t>
        </is>
      </c>
      <c r="G120" s="2" t="inlineStr">
        <is>
          <t>Sent</t>
        </is>
      </c>
      <c r="H120" s="2" t="inlineStr"/>
      <c r="I120" s="2" t="n">
        <v>0</v>
      </c>
      <c r="J120" s="2" t="inlineStr">
        <is>
          <t>REV-STU-003-1</t>
        </is>
      </c>
    </row>
    <row r="121">
      <c r="A121" s="3" t="inlineStr">
        <is>
          <t>EML-1010</t>
        </is>
      </c>
      <c r="B121" s="3" t="inlineStr">
        <is>
          <t>STU-010</t>
        </is>
      </c>
      <c r="C121" s="3" t="inlineStr">
        <is>
          <t>student010@example-interns.edu</t>
        </is>
      </c>
      <c r="D121" s="3" t="inlineStr">
        <is>
          <t>Review Feedback &amp; Follow-up</t>
        </is>
      </c>
      <c r="E121" s="3" t="inlineStr">
        <is>
          <t>Review #2 Feedback &amp; Evaluation Report</t>
        </is>
      </c>
      <c r="F121" s="3" t="inlineStr">
        <is>
          <t>2026-10-23 11:19</t>
        </is>
      </c>
      <c r="G121" s="3" t="inlineStr">
        <is>
          <t>Sent</t>
        </is>
      </c>
      <c r="H121" s="3" t="inlineStr"/>
      <c r="I121" s="3" t="n">
        <v>0</v>
      </c>
      <c r="J121" s="3" t="inlineStr">
        <is>
          <t>REV-STU-010-1</t>
        </is>
      </c>
    </row>
    <row r="122">
      <c r="A122" s="2" t="inlineStr">
        <is>
          <t>EML-1017</t>
        </is>
      </c>
      <c r="B122" s="2" t="inlineStr">
        <is>
          <t>STU-017</t>
        </is>
      </c>
      <c r="C122" s="2" t="inlineStr">
        <is>
          <t>student017@example-interns.edu</t>
        </is>
      </c>
      <c r="D122" s="2" t="inlineStr">
        <is>
          <t>Review Feedback &amp; Follow-up</t>
        </is>
      </c>
      <c r="E122" s="2" t="inlineStr">
        <is>
          <t>Review #2 Feedback &amp; Evaluation Report</t>
        </is>
      </c>
      <c r="F122" s="2" t="inlineStr">
        <is>
          <t>2026-10-23 11:19</t>
        </is>
      </c>
      <c r="G122" s="2" t="inlineStr">
        <is>
          <t>Sent</t>
        </is>
      </c>
      <c r="H122" s="2" t="inlineStr"/>
      <c r="I122" s="2" t="n">
        <v>0</v>
      </c>
      <c r="J122" s="2" t="inlineStr">
        <is>
          <t>REV-STU-017-1</t>
        </is>
      </c>
    </row>
    <row r="123">
      <c r="A123" s="3" t="inlineStr">
        <is>
          <t>EML-1024</t>
        </is>
      </c>
      <c r="B123" s="3" t="inlineStr">
        <is>
          <t>STU-024</t>
        </is>
      </c>
      <c r="C123" s="3" t="inlineStr">
        <is>
          <t>student024@example-interns.edu</t>
        </is>
      </c>
      <c r="D123" s="3" t="inlineStr">
        <is>
          <t>Review Feedback &amp; Follow-up</t>
        </is>
      </c>
      <c r="E123" s="3" t="inlineStr">
        <is>
          <t>Review #1 Feedback &amp; Evaluation Report</t>
        </is>
      </c>
      <c r="F123" s="3" t="inlineStr">
        <is>
          <t>2026-10-23 11:19</t>
        </is>
      </c>
      <c r="G123" s="3" t="inlineStr">
        <is>
          <t>Sent</t>
        </is>
      </c>
      <c r="H123" s="3" t="inlineStr"/>
      <c r="I123" s="3" t="n">
        <v>0</v>
      </c>
      <c r="J123" s="3" t="inlineStr">
        <is>
          <t>REV-STU-024-1</t>
        </is>
      </c>
    </row>
    <row r="124">
      <c r="A124" s="2" t="inlineStr">
        <is>
          <t>EML-1031</t>
        </is>
      </c>
      <c r="B124" s="2" t="inlineStr">
        <is>
          <t>STU-031</t>
        </is>
      </c>
      <c r="C124" s="2" t="inlineStr">
        <is>
          <t>student031@example-interns.edu</t>
        </is>
      </c>
      <c r="D124" s="2" t="inlineStr">
        <is>
          <t>Review Feedback &amp; Follow-up</t>
        </is>
      </c>
      <c r="E124" s="2" t="inlineStr">
        <is>
          <t>Review #1 Feedback &amp; Evaluation Report</t>
        </is>
      </c>
      <c r="F124" s="2" t="inlineStr">
        <is>
          <t>2026-10-23 11:19</t>
        </is>
      </c>
      <c r="G124" s="2" t="inlineStr">
        <is>
          <t>Sent</t>
        </is>
      </c>
      <c r="H124" s="2" t="inlineStr"/>
      <c r="I124" s="2" t="n">
        <v>0</v>
      </c>
      <c r="J124" s="2" t="inlineStr">
        <is>
          <t>REV-STU-031-1</t>
        </is>
      </c>
    </row>
    <row r="125">
      <c r="A125" s="3" t="inlineStr">
        <is>
          <t>EML-1038</t>
        </is>
      </c>
      <c r="B125" s="3" t="inlineStr">
        <is>
          <t>STU-038</t>
        </is>
      </c>
      <c r="C125" s="3" t="inlineStr">
        <is>
          <t>student038@example-interns.edu</t>
        </is>
      </c>
      <c r="D125" s="3" t="inlineStr">
        <is>
          <t>Review Feedback &amp; Follow-up</t>
        </is>
      </c>
      <c r="E125" s="3" t="inlineStr">
        <is>
          <t>Review #1 Feedback &amp; Evaluation Report</t>
        </is>
      </c>
      <c r="F125" s="3" t="inlineStr">
        <is>
          <t>2026-10-23 11:19</t>
        </is>
      </c>
      <c r="G125" s="3" t="inlineStr">
        <is>
          <t>Sent</t>
        </is>
      </c>
      <c r="H125" s="3" t="inlineStr"/>
      <c r="I125" s="3" t="n">
        <v>0</v>
      </c>
      <c r="J125" s="3" t="inlineStr">
        <is>
          <t>REV-STU-038-1</t>
        </is>
      </c>
    </row>
    <row r="126">
      <c r="A126" s="2" t="inlineStr">
        <is>
          <t>EML-1045</t>
        </is>
      </c>
      <c r="B126" s="2" t="inlineStr">
        <is>
          <t>STU-045</t>
        </is>
      </c>
      <c r="C126" s="2" t="inlineStr">
        <is>
          <t>student045@example-interns.edu</t>
        </is>
      </c>
      <c r="D126" s="2" t="inlineStr">
        <is>
          <t>Review Feedback &amp; Follow-up</t>
        </is>
      </c>
      <c r="E126" s="2" t="inlineStr">
        <is>
          <t>Review #1 Feedback &amp; Evaluation Report</t>
        </is>
      </c>
      <c r="F126" s="2" t="inlineStr">
        <is>
          <t>2026-10-23 11:19</t>
        </is>
      </c>
      <c r="G126" s="2" t="inlineStr">
        <is>
          <t>Sent</t>
        </is>
      </c>
      <c r="H126" s="2" t="inlineStr"/>
      <c r="I126" s="2" t="n">
        <v>0</v>
      </c>
      <c r="J126" s="2" t="inlineStr">
        <is>
          <t>REV-STU-045-1</t>
        </is>
      </c>
    </row>
    <row r="127">
      <c r="A127" s="3" t="inlineStr">
        <is>
          <t>EML-1052</t>
        </is>
      </c>
      <c r="B127" s="3" t="inlineStr">
        <is>
          <t>STU-052</t>
        </is>
      </c>
      <c r="C127" s="3" t="inlineStr">
        <is>
          <t>student052@example-interns.edu</t>
        </is>
      </c>
      <c r="D127" s="3" t="inlineStr">
        <is>
          <t>Review Feedback &amp; Follow-up</t>
        </is>
      </c>
      <c r="E127" s="3" t="inlineStr">
        <is>
          <t>Review #1 Feedback &amp; Evaluation Report</t>
        </is>
      </c>
      <c r="F127" s="3" t="inlineStr">
        <is>
          <t>2026-10-23 11:19</t>
        </is>
      </c>
      <c r="G127" s="3" t="inlineStr">
        <is>
          <t>Sent</t>
        </is>
      </c>
      <c r="H127" s="3" t="inlineStr"/>
      <c r="I127" s="3" t="n">
        <v>0</v>
      </c>
      <c r="J127" s="3" t="inlineStr">
        <is>
          <t>REV-STU-052-1</t>
        </is>
      </c>
    </row>
    <row r="128">
      <c r="A128" s="2" t="inlineStr">
        <is>
          <t>EML-1059</t>
        </is>
      </c>
      <c r="B128" s="2" t="inlineStr">
        <is>
          <t>STU-059</t>
        </is>
      </c>
      <c r="C128" s="2" t="inlineStr">
        <is>
          <t>student059@example-interns.edu</t>
        </is>
      </c>
      <c r="D128" s="2" t="inlineStr">
        <is>
          <t>Review Feedback &amp; Follow-up</t>
        </is>
      </c>
      <c r="E128" s="2" t="inlineStr">
        <is>
          <t>Review #1 Feedback &amp; Evaluation Report</t>
        </is>
      </c>
      <c r="F128" s="2" t="inlineStr">
        <is>
          <t>2026-10-23 11:19</t>
        </is>
      </c>
      <c r="G128" s="2" t="inlineStr">
        <is>
          <t>Sent</t>
        </is>
      </c>
      <c r="H128" s="2" t="inlineStr"/>
      <c r="I128" s="2" t="n">
        <v>0</v>
      </c>
      <c r="J128" s="2" t="inlineStr">
        <is>
          <t>REV-STU-059-1</t>
        </is>
      </c>
    </row>
    <row r="129">
      <c r="A129" s="3" t="inlineStr">
        <is>
          <t>EML-1066</t>
        </is>
      </c>
      <c r="B129" s="3" t="inlineStr">
        <is>
          <t>STU-066</t>
        </is>
      </c>
      <c r="C129" s="3" t="inlineStr">
        <is>
          <t>student066@example-interns.edu</t>
        </is>
      </c>
      <c r="D129" s="3" t="inlineStr">
        <is>
          <t>Task Allocation</t>
        </is>
      </c>
      <c r="E129" s="3" t="inlineStr">
        <is>
          <t>[TASK-CYBR-602] Official Assignment &amp; Internship Instructions</t>
        </is>
      </c>
      <c r="F129" s="3" t="inlineStr">
        <is>
          <t>2026-10-23 11:19</t>
        </is>
      </c>
      <c r="G129" s="3" t="inlineStr">
        <is>
          <t>Sent</t>
        </is>
      </c>
      <c r="H129" s="3" t="inlineStr"/>
      <c r="I129" s="3" t="n">
        <v>0</v>
      </c>
      <c r="J129" s="3" t="inlineStr"/>
    </row>
    <row r="130">
      <c r="A130" s="2" t="inlineStr">
        <is>
          <t>EML-1073</t>
        </is>
      </c>
      <c r="B130" s="2" t="inlineStr">
        <is>
          <t>STU-073</t>
        </is>
      </c>
      <c r="C130" s="2" t="inlineStr">
        <is>
          <t>student073@example-interns.edu</t>
        </is>
      </c>
      <c r="D130" s="2" t="inlineStr">
        <is>
          <t>Task Allocation</t>
        </is>
      </c>
      <c r="E130" s="2" t="inlineStr">
        <is>
          <t>[TASK-AIML-101] Official Assignment &amp; Internship Instructions</t>
        </is>
      </c>
      <c r="F130" s="2" t="inlineStr">
        <is>
          <t>2026-10-23 11:19</t>
        </is>
      </c>
      <c r="G130" s="2" t="inlineStr">
        <is>
          <t>Sent</t>
        </is>
      </c>
      <c r="H130" s="2" t="inlineStr"/>
      <c r="I130" s="2" t="n">
        <v>0</v>
      </c>
      <c r="J130" s="2" t="inlineStr"/>
    </row>
    <row r="131">
      <c r="A131" s="3" t="inlineStr">
        <is>
          <t>EML-1080</t>
        </is>
      </c>
      <c r="B131" s="3" t="inlineStr">
        <is>
          <t>STU-080</t>
        </is>
      </c>
      <c r="C131" s="3" t="inlineStr">
        <is>
          <t>student080@example-interns.edu</t>
        </is>
      </c>
      <c r="D131" s="3" t="inlineStr">
        <is>
          <t>Task Allocation</t>
        </is>
      </c>
      <c r="E131" s="3" t="inlineStr">
        <is>
          <t>[TASK-FSWD-202] Official Assignment &amp; Internship Instructions</t>
        </is>
      </c>
      <c r="F131" s="3" t="inlineStr">
        <is>
          <t>2026-10-23 11:19</t>
        </is>
      </c>
      <c r="G131" s="3" t="inlineStr">
        <is>
          <t>Sent</t>
        </is>
      </c>
      <c r="H131" s="3" t="inlineStr"/>
      <c r="I131" s="3" t="n">
        <v>0</v>
      </c>
      <c r="J131" s="3" t="inlineStr"/>
    </row>
    <row r="132">
      <c r="A132" s="2" t="inlineStr">
        <is>
          <t>EML-1087</t>
        </is>
      </c>
      <c r="B132" s="2" t="inlineStr">
        <is>
          <t>STU-087</t>
        </is>
      </c>
      <c r="C132" s="2" t="inlineStr">
        <is>
          <t>student087@example-interns.edu</t>
        </is>
      </c>
      <c r="D132" s="2" t="inlineStr">
        <is>
          <t>Task Allocation</t>
        </is>
      </c>
      <c r="E132" s="2" t="inlineStr">
        <is>
          <t>[TASK-DATA-301] Official Assignment &amp; Internship Instructions</t>
        </is>
      </c>
      <c r="F132" s="2" t="inlineStr">
        <is>
          <t>2026-10-23 11:19</t>
        </is>
      </c>
      <c r="G132" s="2" t="inlineStr">
        <is>
          <t>Sent</t>
        </is>
      </c>
      <c r="H132" s="2" t="inlineStr"/>
      <c r="I132" s="2" t="n">
        <v>0</v>
      </c>
      <c r="J132" s="2" t="inlineStr"/>
    </row>
    <row r="133">
      <c r="A133" s="3" t="inlineStr">
        <is>
          <t>EML-1094</t>
        </is>
      </c>
      <c r="B133" s="3" t="inlineStr">
        <is>
          <t>STU-094</t>
        </is>
      </c>
      <c r="C133" s="3" t="inlineStr">
        <is>
          <t>student094@example-interns.edu</t>
        </is>
      </c>
      <c r="D133" s="3" t="inlineStr">
        <is>
          <t>Task Allocation</t>
        </is>
      </c>
      <c r="E133" s="3" t="inlineStr">
        <is>
          <t>[TASK-DEVO-402] Official Assignment &amp; Internship Instructions</t>
        </is>
      </c>
      <c r="F133" s="3" t="inlineStr">
        <is>
          <t>2026-10-23 11:19</t>
        </is>
      </c>
      <c r="G133" s="3" t="inlineStr">
        <is>
          <t>Sent</t>
        </is>
      </c>
      <c r="H133" s="3" t="inlineStr"/>
      <c r="I133" s="3" t="n">
        <v>0</v>
      </c>
      <c r="J133" s="3" t="inlineStr"/>
    </row>
    <row r="134">
      <c r="A134" s="2" t="inlineStr">
        <is>
          <t>EML-1004</t>
        </is>
      </c>
      <c r="B134" s="2" t="inlineStr">
        <is>
          <t>STU-004</t>
        </is>
      </c>
      <c r="C134" s="2" t="inlineStr">
        <is>
          <t>student004@example-interns.edu</t>
        </is>
      </c>
      <c r="D134" s="2" t="inlineStr">
        <is>
          <t>Review Feedback &amp; Follow-up</t>
        </is>
      </c>
      <c r="E134" s="2" t="inlineStr">
        <is>
          <t>Review #2 Feedback &amp; Evaluation Report</t>
        </is>
      </c>
      <c r="F134" s="2" t="inlineStr">
        <is>
          <t>2026-10-22 11:19</t>
        </is>
      </c>
      <c r="G134" s="2" t="inlineStr">
        <is>
          <t>Sent</t>
        </is>
      </c>
      <c r="H134" s="2" t="inlineStr"/>
      <c r="I134" s="2" t="n">
        <v>0</v>
      </c>
      <c r="J134" s="2" t="inlineStr">
        <is>
          <t>REV-STU-004-1</t>
        </is>
      </c>
    </row>
    <row r="135">
      <c r="A135" s="3" t="inlineStr">
        <is>
          <t>EML-1011</t>
        </is>
      </c>
      <c r="B135" s="3" t="inlineStr">
        <is>
          <t>STU-011</t>
        </is>
      </c>
      <c r="C135" s="3" t="inlineStr">
        <is>
          <t>student011@example-interns.edu</t>
        </is>
      </c>
      <c r="D135" s="3" t="inlineStr">
        <is>
          <t>Review Feedback &amp; Follow-up</t>
        </is>
      </c>
      <c r="E135" s="3" t="inlineStr">
        <is>
          <t>Review #2 Feedback &amp; Evaluation Report</t>
        </is>
      </c>
      <c r="F135" s="3" t="inlineStr">
        <is>
          <t>2026-10-22 11:19</t>
        </is>
      </c>
      <c r="G135" s="3" t="inlineStr">
        <is>
          <t>Sent</t>
        </is>
      </c>
      <c r="H135" s="3" t="inlineStr"/>
      <c r="I135" s="3" t="n">
        <v>0</v>
      </c>
      <c r="J135" s="3" t="inlineStr">
        <is>
          <t>REV-STU-011-1</t>
        </is>
      </c>
    </row>
    <row r="136">
      <c r="A136" s="2" t="inlineStr">
        <is>
          <t>EML-1018</t>
        </is>
      </c>
      <c r="B136" s="2" t="inlineStr">
        <is>
          <t>STU-018</t>
        </is>
      </c>
      <c r="C136" s="2" t="inlineStr">
        <is>
          <t>student018@example-interns.edu</t>
        </is>
      </c>
      <c r="D136" s="2" t="inlineStr">
        <is>
          <t>Review Feedback &amp; Follow-up</t>
        </is>
      </c>
      <c r="E136" s="2" t="inlineStr">
        <is>
          <t>Review #2 Feedback &amp; Evaluation Report</t>
        </is>
      </c>
      <c r="F136" s="2" t="inlineStr">
        <is>
          <t>2026-10-22 11:19</t>
        </is>
      </c>
      <c r="G136" s="2" t="inlineStr">
        <is>
          <t>Sent</t>
        </is>
      </c>
      <c r="H136" s="2" t="inlineStr"/>
      <c r="I136" s="2" t="n">
        <v>0</v>
      </c>
      <c r="J136" s="2" t="inlineStr">
        <is>
          <t>REV-STU-018-1</t>
        </is>
      </c>
    </row>
    <row r="137">
      <c r="A137" s="3" t="inlineStr">
        <is>
          <t>EML-1025</t>
        </is>
      </c>
      <c r="B137" s="3" t="inlineStr">
        <is>
          <t>STU-025</t>
        </is>
      </c>
      <c r="C137" s="3" t="inlineStr">
        <is>
          <t>student025@example-interns.edu</t>
        </is>
      </c>
      <c r="D137" s="3" t="inlineStr">
        <is>
          <t>Review Feedback &amp; Follow-up</t>
        </is>
      </c>
      <c r="E137" s="3" t="inlineStr">
        <is>
          <t>Review #1 Feedback &amp; Evaluation Report</t>
        </is>
      </c>
      <c r="F137" s="3" t="inlineStr">
        <is>
          <t>2026-10-22 11:19</t>
        </is>
      </c>
      <c r="G137" s="3" t="inlineStr">
        <is>
          <t>Sent</t>
        </is>
      </c>
      <c r="H137" s="3" t="inlineStr"/>
      <c r="I137" s="3" t="n">
        <v>0</v>
      </c>
      <c r="J137" s="3" t="inlineStr">
        <is>
          <t>REV-STU-025-1</t>
        </is>
      </c>
    </row>
    <row r="138">
      <c r="A138" s="2" t="inlineStr">
        <is>
          <t>EML-1032</t>
        </is>
      </c>
      <c r="B138" s="2" t="inlineStr">
        <is>
          <t>STU-032</t>
        </is>
      </c>
      <c r="C138" s="2" t="inlineStr">
        <is>
          <t>student032@example-interns.edu</t>
        </is>
      </c>
      <c r="D138" s="2" t="inlineStr">
        <is>
          <t>Review Feedback &amp; Follow-up</t>
        </is>
      </c>
      <c r="E138" s="2" t="inlineStr">
        <is>
          <t>Review #1 Feedback &amp; Evaluation Report</t>
        </is>
      </c>
      <c r="F138" s="2" t="inlineStr">
        <is>
          <t>2026-10-22 11:19</t>
        </is>
      </c>
      <c r="G138" s="2" t="inlineStr">
        <is>
          <t>Sent</t>
        </is>
      </c>
      <c r="H138" s="2" t="inlineStr"/>
      <c r="I138" s="2" t="n">
        <v>0</v>
      </c>
      <c r="J138" s="2" t="inlineStr">
        <is>
          <t>REV-STU-032-1</t>
        </is>
      </c>
    </row>
    <row r="139">
      <c r="A139" s="3" t="inlineStr">
        <is>
          <t>EML-1039</t>
        </is>
      </c>
      <c r="B139" s="3" t="inlineStr">
        <is>
          <t>STU-039</t>
        </is>
      </c>
      <c r="C139" s="3" t="inlineStr">
        <is>
          <t>student039@example-interns.edu</t>
        </is>
      </c>
      <c r="D139" s="3" t="inlineStr">
        <is>
          <t>Review Feedback &amp; Follow-up</t>
        </is>
      </c>
      <c r="E139" s="3" t="inlineStr">
        <is>
          <t>Review #1 Feedback &amp; Evaluation Report</t>
        </is>
      </c>
      <c r="F139" s="3" t="inlineStr">
        <is>
          <t>2026-10-22 11:19</t>
        </is>
      </c>
      <c r="G139" s="3" t="inlineStr">
        <is>
          <t>Sent</t>
        </is>
      </c>
      <c r="H139" s="3" t="inlineStr"/>
      <c r="I139" s="3" t="n">
        <v>0</v>
      </c>
      <c r="J139" s="3" t="inlineStr">
        <is>
          <t>REV-STU-039-1</t>
        </is>
      </c>
    </row>
    <row r="140">
      <c r="A140" s="2" t="inlineStr">
        <is>
          <t>EML-1046</t>
        </is>
      </c>
      <c r="B140" s="2" t="inlineStr">
        <is>
          <t>STU-046</t>
        </is>
      </c>
      <c r="C140" s="2" t="inlineStr">
        <is>
          <t>student046@example-interns.edu</t>
        </is>
      </c>
      <c r="D140" s="2" t="inlineStr">
        <is>
          <t>Review Feedback &amp; Follow-up</t>
        </is>
      </c>
      <c r="E140" s="2" t="inlineStr">
        <is>
          <t>Review #1 Feedback &amp; Evaluation Report</t>
        </is>
      </c>
      <c r="F140" s="2" t="inlineStr">
        <is>
          <t>2026-10-22 11:19</t>
        </is>
      </c>
      <c r="G140" s="2" t="inlineStr">
        <is>
          <t>Sent</t>
        </is>
      </c>
      <c r="H140" s="2" t="inlineStr"/>
      <c r="I140" s="2" t="n">
        <v>0</v>
      </c>
      <c r="J140" s="2" t="inlineStr">
        <is>
          <t>REV-STU-046-1</t>
        </is>
      </c>
    </row>
    <row r="141">
      <c r="A141" s="3" t="inlineStr">
        <is>
          <t>EML-1053</t>
        </is>
      </c>
      <c r="B141" s="3" t="inlineStr">
        <is>
          <t>STU-053</t>
        </is>
      </c>
      <c r="C141" s="3" t="inlineStr">
        <is>
          <t>student053@example-interns.edu</t>
        </is>
      </c>
      <c r="D141" s="3" t="inlineStr">
        <is>
          <t>Review Feedback &amp; Follow-up</t>
        </is>
      </c>
      <c r="E141" s="3" t="inlineStr">
        <is>
          <t>Review #1 Feedback &amp; Evaluation Report</t>
        </is>
      </c>
      <c r="F141" s="3" t="inlineStr">
        <is>
          <t>2026-10-22 11:19</t>
        </is>
      </c>
      <c r="G141" s="3" t="inlineStr">
        <is>
          <t>Sent</t>
        </is>
      </c>
      <c r="H141" s="3" t="inlineStr"/>
      <c r="I141" s="3" t="n">
        <v>0</v>
      </c>
      <c r="J141" s="3" t="inlineStr">
        <is>
          <t>REV-STU-053-1</t>
        </is>
      </c>
    </row>
    <row r="142">
      <c r="A142" s="2" t="inlineStr">
        <is>
          <t>EML-1060</t>
        </is>
      </c>
      <c r="B142" s="2" t="inlineStr">
        <is>
          <t>STU-060</t>
        </is>
      </c>
      <c r="C142" s="2" t="inlineStr">
        <is>
          <t>student060@example-interns.edu</t>
        </is>
      </c>
      <c r="D142" s="2" t="inlineStr">
        <is>
          <t>Review Feedback &amp; Follow-up</t>
        </is>
      </c>
      <c r="E142" s="2" t="inlineStr">
        <is>
          <t>Review #1 Feedback &amp; Evaluation Report</t>
        </is>
      </c>
      <c r="F142" s="2" t="inlineStr">
        <is>
          <t>2026-10-22 11:19</t>
        </is>
      </c>
      <c r="G142" s="2" t="inlineStr">
        <is>
          <t>Sent</t>
        </is>
      </c>
      <c r="H142" s="2" t="inlineStr"/>
      <c r="I142" s="2" t="n">
        <v>0</v>
      </c>
      <c r="J142" s="2" t="inlineStr">
        <is>
          <t>REV-STU-060-1</t>
        </is>
      </c>
    </row>
    <row r="143">
      <c r="A143" s="3" t="inlineStr">
        <is>
          <t>EML-1067</t>
        </is>
      </c>
      <c r="B143" s="3" t="inlineStr">
        <is>
          <t>STU-067</t>
        </is>
      </c>
      <c r="C143" s="3" t="inlineStr">
        <is>
          <t>student067@example-interns.edu</t>
        </is>
      </c>
      <c r="D143" s="3" t="inlineStr">
        <is>
          <t>Task Allocation</t>
        </is>
      </c>
      <c r="E143" s="3" t="inlineStr">
        <is>
          <t>[TASK-AIML-101] Official Assignment &amp; Internship Instructions</t>
        </is>
      </c>
      <c r="F143" s="3" t="inlineStr">
        <is>
          <t>2026-10-22 11:19</t>
        </is>
      </c>
      <c r="G143" s="3" t="inlineStr">
        <is>
          <t>Sent</t>
        </is>
      </c>
      <c r="H143" s="3" t="inlineStr"/>
      <c r="I143" s="3" t="n">
        <v>0</v>
      </c>
      <c r="J143" s="3" t="inlineStr"/>
    </row>
    <row r="144">
      <c r="A144" s="2" t="inlineStr">
        <is>
          <t>EML-1074</t>
        </is>
      </c>
      <c r="B144" s="2" t="inlineStr">
        <is>
          <t>STU-074</t>
        </is>
      </c>
      <c r="C144" s="2" t="inlineStr">
        <is>
          <t>student074@example-interns.edu</t>
        </is>
      </c>
      <c r="D144" s="2" t="inlineStr">
        <is>
          <t>Task Allocation</t>
        </is>
      </c>
      <c r="E144" s="2" t="inlineStr">
        <is>
          <t>[TASK-FSWD-202] Official Assignment &amp; Internship Instructions</t>
        </is>
      </c>
      <c r="F144" s="2" t="inlineStr">
        <is>
          <t>2026-10-22 11:19</t>
        </is>
      </c>
      <c r="G144" s="2" t="inlineStr">
        <is>
          <t>Sent</t>
        </is>
      </c>
      <c r="H144" s="2" t="inlineStr"/>
      <c r="I144" s="2" t="n">
        <v>0</v>
      </c>
      <c r="J144" s="2" t="inlineStr"/>
    </row>
    <row r="145">
      <c r="A145" s="3" t="inlineStr">
        <is>
          <t>EML-1081</t>
        </is>
      </c>
      <c r="B145" s="3" t="inlineStr">
        <is>
          <t>STU-081</t>
        </is>
      </c>
      <c r="C145" s="3" t="inlineStr">
        <is>
          <t>student081@example-interns.edu</t>
        </is>
      </c>
      <c r="D145" s="3" t="inlineStr">
        <is>
          <t>Task Allocation</t>
        </is>
      </c>
      <c r="E145" s="3" t="inlineStr">
        <is>
          <t>[TASK-DATA-301] Official Assignment &amp; Internship Instructions</t>
        </is>
      </c>
      <c r="F145" s="3" t="inlineStr">
        <is>
          <t>2026-10-22 11:19</t>
        </is>
      </c>
      <c r="G145" s="3" t="inlineStr">
        <is>
          <t>Sent</t>
        </is>
      </c>
      <c r="H145" s="3" t="inlineStr"/>
      <c r="I145" s="3" t="n">
        <v>0</v>
      </c>
      <c r="J145" s="3" t="inlineStr"/>
    </row>
    <row r="146">
      <c r="A146" s="2" t="inlineStr">
        <is>
          <t>EML-1088</t>
        </is>
      </c>
      <c r="B146" s="2" t="inlineStr">
        <is>
          <t>STU-088</t>
        </is>
      </c>
      <c r="C146" s="2" t="inlineStr">
        <is>
          <t>student088@example-interns.edu</t>
        </is>
      </c>
      <c r="D146" s="2" t="inlineStr">
        <is>
          <t>Task Allocation</t>
        </is>
      </c>
      <c r="E146" s="2" t="inlineStr">
        <is>
          <t>[TASK-DEVO-402] Official Assignment &amp; Internship Instructions</t>
        </is>
      </c>
      <c r="F146" s="2" t="inlineStr">
        <is>
          <t>2026-10-22 11:19</t>
        </is>
      </c>
      <c r="G146" s="2" t="inlineStr">
        <is>
          <t>Sent</t>
        </is>
      </c>
      <c r="H146" s="2" t="inlineStr"/>
      <c r="I146" s="2" t="n">
        <v>0</v>
      </c>
      <c r="J146" s="2" t="inlineStr"/>
    </row>
    <row r="147">
      <c r="A147" s="3" t="inlineStr">
        <is>
          <t>EML-1095</t>
        </is>
      </c>
      <c r="B147" s="3" t="inlineStr">
        <is>
          <t>STU-095</t>
        </is>
      </c>
      <c r="C147" s="3" t="inlineStr">
        <is>
          <t>student095@example-interns.edu</t>
        </is>
      </c>
      <c r="D147" s="3" t="inlineStr">
        <is>
          <t>Task Allocation</t>
        </is>
      </c>
      <c r="E147" s="3" t="inlineStr">
        <is>
          <t>[TASK-MOBL-501] Official Assignment &amp; Internship Instructions</t>
        </is>
      </c>
      <c r="F147" s="3" t="inlineStr">
        <is>
          <t>2026-10-22 11:19</t>
        </is>
      </c>
      <c r="G147" s="3" t="inlineStr">
        <is>
          <t>Sent</t>
        </is>
      </c>
      <c r="H147" s="3" t="inlineStr"/>
      <c r="I147" s="3" t="n">
        <v>0</v>
      </c>
      <c r="J147" s="3" t="inlineStr"/>
    </row>
    <row r="148">
      <c r="A148" s="2" t="inlineStr">
        <is>
          <t>EML-1005</t>
        </is>
      </c>
      <c r="B148" s="2" t="inlineStr">
        <is>
          <t>STU-005</t>
        </is>
      </c>
      <c r="C148" s="2" t="inlineStr">
        <is>
          <t>student005@example-interns.edu</t>
        </is>
      </c>
      <c r="D148" s="2" t="inlineStr">
        <is>
          <t>Review Feedback &amp; Follow-up</t>
        </is>
      </c>
      <c r="E148" s="2" t="inlineStr">
        <is>
          <t>Review #2 Feedback &amp; Evaluation Report</t>
        </is>
      </c>
      <c r="F148" s="2" t="inlineStr">
        <is>
          <t>2026-10-21 11:19</t>
        </is>
      </c>
      <c r="G148" s="2" t="inlineStr">
        <is>
          <t>Sent</t>
        </is>
      </c>
      <c r="H148" s="2" t="inlineStr"/>
      <c r="I148" s="2" t="n">
        <v>0</v>
      </c>
      <c r="J148" s="2" t="inlineStr">
        <is>
          <t>REV-STU-005-1</t>
        </is>
      </c>
    </row>
    <row r="149">
      <c r="A149" s="3" t="inlineStr">
        <is>
          <t>EML-1012</t>
        </is>
      </c>
      <c r="B149" s="3" t="inlineStr">
        <is>
          <t>STU-012</t>
        </is>
      </c>
      <c r="C149" s="3" t="inlineStr">
        <is>
          <t>student012@example-interns.edu</t>
        </is>
      </c>
      <c r="D149" s="3" t="inlineStr">
        <is>
          <t>Review Feedback &amp; Follow-up</t>
        </is>
      </c>
      <c r="E149" s="3" t="inlineStr">
        <is>
          <t>Review #2 Feedback &amp; Evaluation Report</t>
        </is>
      </c>
      <c r="F149" s="3" t="inlineStr">
        <is>
          <t>2026-10-21 11:19</t>
        </is>
      </c>
      <c r="G149" s="3" t="inlineStr">
        <is>
          <t>Sent</t>
        </is>
      </c>
      <c r="H149" s="3" t="inlineStr"/>
      <c r="I149" s="3" t="n">
        <v>0</v>
      </c>
      <c r="J149" s="3" t="inlineStr">
        <is>
          <t>REV-STU-012-1</t>
        </is>
      </c>
    </row>
    <row r="150">
      <c r="A150" s="2" t="inlineStr">
        <is>
          <t>EML-1019</t>
        </is>
      </c>
      <c r="B150" s="2" t="inlineStr">
        <is>
          <t>STU-019</t>
        </is>
      </c>
      <c r="C150" s="2" t="inlineStr">
        <is>
          <t>student019@example-interns.edu</t>
        </is>
      </c>
      <c r="D150" s="2" t="inlineStr">
        <is>
          <t>Review Feedback &amp; Follow-up</t>
        </is>
      </c>
      <c r="E150" s="2" t="inlineStr">
        <is>
          <t>Review #2 Feedback &amp; Evaluation Report</t>
        </is>
      </c>
      <c r="F150" s="2" t="inlineStr">
        <is>
          <t>2026-10-21 11:19</t>
        </is>
      </c>
      <c r="G150" s="2" t="inlineStr">
        <is>
          <t>Sent</t>
        </is>
      </c>
      <c r="H150" s="2" t="inlineStr"/>
      <c r="I150" s="2" t="n">
        <v>0</v>
      </c>
      <c r="J150" s="2" t="inlineStr">
        <is>
          <t>REV-STU-019-1</t>
        </is>
      </c>
    </row>
    <row r="151">
      <c r="A151" s="3" t="inlineStr">
        <is>
          <t>EML-1026</t>
        </is>
      </c>
      <c r="B151" s="3" t="inlineStr">
        <is>
          <t>STU-026</t>
        </is>
      </c>
      <c r="C151" s="3" t="inlineStr">
        <is>
          <t>student026@example-interns.edu</t>
        </is>
      </c>
      <c r="D151" s="3" t="inlineStr">
        <is>
          <t>Review Feedback &amp; Follow-up</t>
        </is>
      </c>
      <c r="E151" s="3" t="inlineStr">
        <is>
          <t>Review #1 Feedback &amp; Evaluation Report</t>
        </is>
      </c>
      <c r="F151" s="3" t="inlineStr">
        <is>
          <t>2026-10-21 11:19</t>
        </is>
      </c>
      <c r="G151" s="3" t="inlineStr">
        <is>
          <t>Sent</t>
        </is>
      </c>
      <c r="H151" s="3" t="inlineStr"/>
      <c r="I151" s="3" t="n">
        <v>0</v>
      </c>
      <c r="J151" s="3" t="inlineStr">
        <is>
          <t>REV-STU-026-1</t>
        </is>
      </c>
    </row>
    <row r="152">
      <c r="A152" s="2" t="inlineStr">
        <is>
          <t>EML-1033</t>
        </is>
      </c>
      <c r="B152" s="2" t="inlineStr">
        <is>
          <t>STU-033</t>
        </is>
      </c>
      <c r="C152" s="2" t="inlineStr">
        <is>
          <t>student033@example-interns.edu</t>
        </is>
      </c>
      <c r="D152" s="2" t="inlineStr">
        <is>
          <t>Review Feedback &amp; Follow-up</t>
        </is>
      </c>
      <c r="E152" s="2" t="inlineStr">
        <is>
          <t>Review #1 Feedback &amp; Evaluation Report</t>
        </is>
      </c>
      <c r="F152" s="2" t="inlineStr">
        <is>
          <t>2026-10-21 11:19</t>
        </is>
      </c>
      <c r="G152" s="2" t="inlineStr">
        <is>
          <t>Sent</t>
        </is>
      </c>
      <c r="H152" s="2" t="inlineStr"/>
      <c r="I152" s="2" t="n">
        <v>0</v>
      </c>
      <c r="J152" s="2" t="inlineStr">
        <is>
          <t>REV-STU-033-1</t>
        </is>
      </c>
    </row>
    <row r="153">
      <c r="A153" s="3" t="inlineStr">
        <is>
          <t>EML-1040</t>
        </is>
      </c>
      <c r="B153" s="3" t="inlineStr">
        <is>
          <t>STU-040</t>
        </is>
      </c>
      <c r="C153" s="3" t="inlineStr">
        <is>
          <t>student040@example-interns.edu</t>
        </is>
      </c>
      <c r="D153" s="3" t="inlineStr">
        <is>
          <t>Review Feedback &amp; Follow-up</t>
        </is>
      </c>
      <c r="E153" s="3" t="inlineStr">
        <is>
          <t>Review #1 Feedback &amp; Evaluation Report</t>
        </is>
      </c>
      <c r="F153" s="3" t="inlineStr">
        <is>
          <t>2026-10-21 11:19</t>
        </is>
      </c>
      <c r="G153" s="3" t="inlineStr">
        <is>
          <t>Sent</t>
        </is>
      </c>
      <c r="H153" s="3" t="inlineStr"/>
      <c r="I153" s="3" t="n">
        <v>0</v>
      </c>
      <c r="J153" s="3" t="inlineStr">
        <is>
          <t>REV-STU-040-1</t>
        </is>
      </c>
    </row>
    <row r="154">
      <c r="A154" s="2" t="inlineStr">
        <is>
          <t>EML-1047</t>
        </is>
      </c>
      <c r="B154" s="2" t="inlineStr">
        <is>
          <t>STU-047</t>
        </is>
      </c>
      <c r="C154" s="2" t="inlineStr">
        <is>
          <t>student047@example-interns.edu</t>
        </is>
      </c>
      <c r="D154" s="2" t="inlineStr">
        <is>
          <t>Review Feedback &amp; Follow-up</t>
        </is>
      </c>
      <c r="E154" s="2" t="inlineStr">
        <is>
          <t>Review #1 Feedback &amp; Evaluation Report</t>
        </is>
      </c>
      <c r="F154" s="2" t="inlineStr">
        <is>
          <t>2026-10-21 11:19</t>
        </is>
      </c>
      <c r="G154" s="2" t="inlineStr">
        <is>
          <t>Sent</t>
        </is>
      </c>
      <c r="H154" s="2" t="inlineStr"/>
      <c r="I154" s="2" t="n">
        <v>0</v>
      </c>
      <c r="J154" s="2" t="inlineStr">
        <is>
          <t>REV-STU-047-1</t>
        </is>
      </c>
    </row>
    <row r="155">
      <c r="A155" s="3" t="inlineStr">
        <is>
          <t>EML-1054</t>
        </is>
      </c>
      <c r="B155" s="3" t="inlineStr">
        <is>
          <t>STU-054</t>
        </is>
      </c>
      <c r="C155" s="3" t="inlineStr">
        <is>
          <t>student054@example-interns.edu</t>
        </is>
      </c>
      <c r="D155" s="3" t="inlineStr">
        <is>
          <t>Review Feedback &amp; Follow-up</t>
        </is>
      </c>
      <c r="E155" s="3" t="inlineStr">
        <is>
          <t>Review #1 Feedback &amp; Evaluation Report</t>
        </is>
      </c>
      <c r="F155" s="3" t="inlineStr">
        <is>
          <t>2026-10-21 11:19</t>
        </is>
      </c>
      <c r="G155" s="3" t="inlineStr">
        <is>
          <t>Sent</t>
        </is>
      </c>
      <c r="H155" s="3" t="inlineStr"/>
      <c r="I155" s="3" t="n">
        <v>0</v>
      </c>
      <c r="J155" s="3" t="inlineStr">
        <is>
          <t>REV-STU-054-1</t>
        </is>
      </c>
    </row>
    <row r="156">
      <c r="A156" s="2" t="inlineStr">
        <is>
          <t>EML-1061</t>
        </is>
      </c>
      <c r="B156" s="2" t="inlineStr">
        <is>
          <t>STU-061</t>
        </is>
      </c>
      <c r="C156" s="2" t="inlineStr">
        <is>
          <t>student061@example-interns.edu</t>
        </is>
      </c>
      <c r="D156" s="2" t="inlineStr">
        <is>
          <t>Task Allocation</t>
        </is>
      </c>
      <c r="E156" s="2" t="inlineStr">
        <is>
          <t>[TASK-AIML-101] Official Assignment &amp; Internship Instructions</t>
        </is>
      </c>
      <c r="F156" s="2" t="inlineStr">
        <is>
          <t>2026-10-21 11:19</t>
        </is>
      </c>
      <c r="G156" s="2" t="inlineStr">
        <is>
          <t>Sent</t>
        </is>
      </c>
      <c r="H156" s="2" t="inlineStr"/>
      <c r="I156" s="2" t="n">
        <v>0</v>
      </c>
      <c r="J156" s="2" t="inlineStr"/>
    </row>
    <row r="157">
      <c r="A157" s="3" t="inlineStr">
        <is>
          <t>EML-1068</t>
        </is>
      </c>
      <c r="B157" s="3" t="inlineStr">
        <is>
          <t>STU-068</t>
        </is>
      </c>
      <c r="C157" s="3" t="inlineStr">
        <is>
          <t>student068@example-interns.edu</t>
        </is>
      </c>
      <c r="D157" s="3" t="inlineStr">
        <is>
          <t>Task Allocation</t>
        </is>
      </c>
      <c r="E157" s="3" t="inlineStr">
        <is>
          <t>[TASK-FSWD-202] Official Assignment &amp; Internship Instructions</t>
        </is>
      </c>
      <c r="F157" s="3" t="inlineStr">
        <is>
          <t>2026-10-21 11:19</t>
        </is>
      </c>
      <c r="G157" s="3" t="inlineStr">
        <is>
          <t>Sent</t>
        </is>
      </c>
      <c r="H157" s="3" t="inlineStr"/>
      <c r="I157" s="3" t="n">
        <v>0</v>
      </c>
      <c r="J157" s="3" t="inlineStr"/>
    </row>
    <row r="158">
      <c r="A158" s="2" t="inlineStr">
        <is>
          <t>EML-1075</t>
        </is>
      </c>
      <c r="B158" s="2" t="inlineStr">
        <is>
          <t>STU-075</t>
        </is>
      </c>
      <c r="C158" s="2" t="inlineStr">
        <is>
          <t>student075@example-interns.edu</t>
        </is>
      </c>
      <c r="D158" s="2" t="inlineStr">
        <is>
          <t>Task Allocation</t>
        </is>
      </c>
      <c r="E158" s="2" t="inlineStr">
        <is>
          <t>[TASK-DATA-301] Official Assignment &amp; Internship Instructions</t>
        </is>
      </c>
      <c r="F158" s="2" t="inlineStr">
        <is>
          <t>2026-10-21 11:19</t>
        </is>
      </c>
      <c r="G158" s="2" t="inlineStr">
        <is>
          <t>Sent</t>
        </is>
      </c>
      <c r="H158" s="2" t="inlineStr"/>
      <c r="I158" s="2" t="n">
        <v>0</v>
      </c>
      <c r="J158" s="2" t="inlineStr"/>
    </row>
    <row r="159">
      <c r="A159" s="3" t="inlineStr">
        <is>
          <t>EML-1082</t>
        </is>
      </c>
      <c r="B159" s="3" t="inlineStr">
        <is>
          <t>STU-082</t>
        </is>
      </c>
      <c r="C159" s="3" t="inlineStr">
        <is>
          <t>student082@example-interns.edu</t>
        </is>
      </c>
      <c r="D159" s="3" t="inlineStr">
        <is>
          <t>Task Allocation</t>
        </is>
      </c>
      <c r="E159" s="3" t="inlineStr">
        <is>
          <t>[TASK-DEVO-402] Official Assignment &amp; Internship Instructions</t>
        </is>
      </c>
      <c r="F159" s="3" t="inlineStr">
        <is>
          <t>2026-10-21 11:19</t>
        </is>
      </c>
      <c r="G159" s="3" t="inlineStr">
        <is>
          <t>Sent</t>
        </is>
      </c>
      <c r="H159" s="3" t="inlineStr"/>
      <c r="I159" s="3" t="n">
        <v>0</v>
      </c>
      <c r="J159" s="3" t="inlineStr"/>
    </row>
    <row r="160">
      <c r="A160" s="2" t="inlineStr">
        <is>
          <t>EML-1089</t>
        </is>
      </c>
      <c r="B160" s="2" t="inlineStr">
        <is>
          <t>STU-089</t>
        </is>
      </c>
      <c r="C160" s="2" t="inlineStr">
        <is>
          <t>student089@example-interns.edu</t>
        </is>
      </c>
      <c r="D160" s="2" t="inlineStr">
        <is>
          <t>Task Allocation</t>
        </is>
      </c>
      <c r="E160" s="2" t="inlineStr">
        <is>
          <t>[TASK-MOBL-501] Official Assignment &amp; Internship Instructions</t>
        </is>
      </c>
      <c r="F160" s="2" t="inlineStr">
        <is>
          <t>2026-10-21 11:19</t>
        </is>
      </c>
      <c r="G160" s="2" t="inlineStr">
        <is>
          <t>Sent</t>
        </is>
      </c>
      <c r="H160" s="2" t="inlineStr"/>
      <c r="I160" s="2" t="n">
        <v>0</v>
      </c>
      <c r="J160" s="2" t="inlineStr"/>
    </row>
    <row r="161">
      <c r="A161" s="3" t="inlineStr">
        <is>
          <t>EML-1096</t>
        </is>
      </c>
      <c r="B161" s="3" t="inlineStr">
        <is>
          <t>STU-096</t>
        </is>
      </c>
      <c r="C161" s="3" t="inlineStr">
        <is>
          <t>student096@example-interns.edu</t>
        </is>
      </c>
      <c r="D161" s="3" t="inlineStr">
        <is>
          <t>Task Allocation</t>
        </is>
      </c>
      <c r="E161" s="3" t="inlineStr">
        <is>
          <t>[TASK-CYBR-602] Official Assignment &amp; Internship Instructions</t>
        </is>
      </c>
      <c r="F161" s="3" t="inlineStr">
        <is>
          <t>2026-10-21 11:19</t>
        </is>
      </c>
      <c r="G161" s="3" t="inlineStr">
        <is>
          <t>Failed</t>
        </is>
      </c>
      <c r="H161" s="3" t="inlineStr">
        <is>
          <t>SMTP Mailbox Full / Temporary Network Timeout</t>
        </is>
      </c>
      <c r="I161" s="3" t="n">
        <v>2</v>
      </c>
      <c r="J161" s="3" t="inlineStr"/>
    </row>
    <row r="162">
      <c r="A162" s="2" t="inlineStr">
        <is>
          <t>EML-1006</t>
        </is>
      </c>
      <c r="B162" s="2" t="inlineStr">
        <is>
          <t>STU-006</t>
        </is>
      </c>
      <c r="C162" s="2" t="inlineStr">
        <is>
          <t>student006@example-interns.edu</t>
        </is>
      </c>
      <c r="D162" s="2" t="inlineStr">
        <is>
          <t>Review Feedback &amp; Follow-up</t>
        </is>
      </c>
      <c r="E162" s="2" t="inlineStr">
        <is>
          <t>Review #2 Feedback &amp; Evaluation Report</t>
        </is>
      </c>
      <c r="F162" s="2" t="inlineStr">
        <is>
          <t>2026-10-20 11:19</t>
        </is>
      </c>
      <c r="G162" s="2" t="inlineStr">
        <is>
          <t>Sent</t>
        </is>
      </c>
      <c r="H162" s="2" t="inlineStr"/>
      <c r="I162" s="2" t="n">
        <v>0</v>
      </c>
      <c r="J162" s="2" t="inlineStr">
        <is>
          <t>REV-STU-006-1</t>
        </is>
      </c>
    </row>
    <row r="163">
      <c r="A163" s="3" t="inlineStr">
        <is>
          <t>EML-1013</t>
        </is>
      </c>
      <c r="B163" s="3" t="inlineStr">
        <is>
          <t>STU-013</t>
        </is>
      </c>
      <c r="C163" s="3" t="inlineStr">
        <is>
          <t>student013@example-interns.edu</t>
        </is>
      </c>
      <c r="D163" s="3" t="inlineStr">
        <is>
          <t>Review Feedback &amp; Follow-up</t>
        </is>
      </c>
      <c r="E163" s="3" t="inlineStr">
        <is>
          <t>Review #2 Feedback &amp; Evaluation Report</t>
        </is>
      </c>
      <c r="F163" s="3" t="inlineStr">
        <is>
          <t>2026-10-20 11:19</t>
        </is>
      </c>
      <c r="G163" s="3" t="inlineStr">
        <is>
          <t>Sent</t>
        </is>
      </c>
      <c r="H163" s="3" t="inlineStr"/>
      <c r="I163" s="3" t="n">
        <v>0</v>
      </c>
      <c r="J163" s="3" t="inlineStr">
        <is>
          <t>REV-STU-013-1</t>
        </is>
      </c>
    </row>
    <row r="164">
      <c r="A164" s="2" t="inlineStr">
        <is>
          <t>EML-1020</t>
        </is>
      </c>
      <c r="B164" s="2" t="inlineStr">
        <is>
          <t>STU-020</t>
        </is>
      </c>
      <c r="C164" s="2" t="inlineStr">
        <is>
          <t>student020@example-interns.edu</t>
        </is>
      </c>
      <c r="D164" s="2" t="inlineStr">
        <is>
          <t>Review Feedback &amp; Follow-up</t>
        </is>
      </c>
      <c r="E164" s="2" t="inlineStr">
        <is>
          <t>Review #2 Feedback &amp; Evaluation Report</t>
        </is>
      </c>
      <c r="F164" s="2" t="inlineStr">
        <is>
          <t>2026-10-20 11:19</t>
        </is>
      </c>
      <c r="G164" s="2" t="inlineStr">
        <is>
          <t>Sent</t>
        </is>
      </c>
      <c r="H164" s="2" t="inlineStr"/>
      <c r="I164" s="2" t="n">
        <v>0</v>
      </c>
      <c r="J164" s="2" t="inlineStr">
        <is>
          <t>REV-STU-020-1</t>
        </is>
      </c>
    </row>
    <row r="165">
      <c r="A165" s="3" t="inlineStr">
        <is>
          <t>EML-1027</t>
        </is>
      </c>
      <c r="B165" s="3" t="inlineStr">
        <is>
          <t>STU-027</t>
        </is>
      </c>
      <c r="C165" s="3" t="inlineStr">
        <is>
          <t>student027@example-interns.edu</t>
        </is>
      </c>
      <c r="D165" s="3" t="inlineStr">
        <is>
          <t>Review Feedback &amp; Follow-up</t>
        </is>
      </c>
      <c r="E165" s="3" t="inlineStr">
        <is>
          <t>Review #1 Feedback &amp; Evaluation Report</t>
        </is>
      </c>
      <c r="F165" s="3" t="inlineStr">
        <is>
          <t>2026-10-20 11:19</t>
        </is>
      </c>
      <c r="G165" s="3" t="inlineStr">
        <is>
          <t>Sent</t>
        </is>
      </c>
      <c r="H165" s="3" t="inlineStr"/>
      <c r="I165" s="3" t="n">
        <v>0</v>
      </c>
      <c r="J165" s="3" t="inlineStr">
        <is>
          <t>REV-STU-027-1</t>
        </is>
      </c>
    </row>
    <row r="166">
      <c r="A166" s="2" t="inlineStr">
        <is>
          <t>EML-1034</t>
        </is>
      </c>
      <c r="B166" s="2" t="inlineStr">
        <is>
          <t>STU-034</t>
        </is>
      </c>
      <c r="C166" s="2" t="inlineStr">
        <is>
          <t>student034@example-interns.edu</t>
        </is>
      </c>
      <c r="D166" s="2" t="inlineStr">
        <is>
          <t>Review Feedback &amp; Follow-up</t>
        </is>
      </c>
      <c r="E166" s="2" t="inlineStr">
        <is>
          <t>Review #1 Feedback &amp; Evaluation Report</t>
        </is>
      </c>
      <c r="F166" s="2" t="inlineStr">
        <is>
          <t>2026-10-20 11:19</t>
        </is>
      </c>
      <c r="G166" s="2" t="inlineStr">
        <is>
          <t>Sent</t>
        </is>
      </c>
      <c r="H166" s="2" t="inlineStr"/>
      <c r="I166" s="2" t="n">
        <v>0</v>
      </c>
      <c r="J166" s="2" t="inlineStr">
        <is>
          <t>REV-STU-034-1</t>
        </is>
      </c>
    </row>
    <row r="167">
      <c r="A167" s="3" t="inlineStr">
        <is>
          <t>EML-1041</t>
        </is>
      </c>
      <c r="B167" s="3" t="inlineStr">
        <is>
          <t>STU-041</t>
        </is>
      </c>
      <c r="C167" s="3" t="inlineStr">
        <is>
          <t>student041@example-interns.edu</t>
        </is>
      </c>
      <c r="D167" s="3" t="inlineStr">
        <is>
          <t>Review Feedback &amp; Follow-up</t>
        </is>
      </c>
      <c r="E167" s="3" t="inlineStr">
        <is>
          <t>Review #1 Feedback &amp; Evaluation Report</t>
        </is>
      </c>
      <c r="F167" s="3" t="inlineStr">
        <is>
          <t>2026-10-20 11:19</t>
        </is>
      </c>
      <c r="G167" s="3" t="inlineStr">
        <is>
          <t>Sent</t>
        </is>
      </c>
      <c r="H167" s="3" t="inlineStr"/>
      <c r="I167" s="3" t="n">
        <v>0</v>
      </c>
      <c r="J167" s="3" t="inlineStr">
        <is>
          <t>REV-STU-041-1</t>
        </is>
      </c>
    </row>
    <row r="168">
      <c r="A168" s="2" t="inlineStr">
        <is>
          <t>EML-1048</t>
        </is>
      </c>
      <c r="B168" s="2" t="inlineStr">
        <is>
          <t>STU-048</t>
        </is>
      </c>
      <c r="C168" s="2" t="inlineStr">
        <is>
          <t>student048@example-interns.edu</t>
        </is>
      </c>
      <c r="D168" s="2" t="inlineStr">
        <is>
          <t>Review Feedback &amp; Follow-up</t>
        </is>
      </c>
      <c r="E168" s="2" t="inlineStr">
        <is>
          <t>Review #1 Feedback &amp; Evaluation Report</t>
        </is>
      </c>
      <c r="F168" s="2" t="inlineStr">
        <is>
          <t>2026-10-20 11:19</t>
        </is>
      </c>
      <c r="G168" s="2" t="inlineStr">
        <is>
          <t>Sent</t>
        </is>
      </c>
      <c r="H168" s="2" t="inlineStr"/>
      <c r="I168" s="2" t="n">
        <v>0</v>
      </c>
      <c r="J168" s="2" t="inlineStr">
        <is>
          <t>REV-STU-048-1</t>
        </is>
      </c>
    </row>
    <row r="169">
      <c r="A169" s="3" t="inlineStr">
        <is>
          <t>EML-1055</t>
        </is>
      </c>
      <c r="B169" s="3" t="inlineStr">
        <is>
          <t>STU-055</t>
        </is>
      </c>
      <c r="C169" s="3" t="inlineStr">
        <is>
          <t>student055@example-interns.edu</t>
        </is>
      </c>
      <c r="D169" s="3" t="inlineStr">
        <is>
          <t>Review Feedback &amp; Follow-up</t>
        </is>
      </c>
      <c r="E169" s="3" t="inlineStr">
        <is>
          <t>Review #1 Feedback &amp; Evaluation Report</t>
        </is>
      </c>
      <c r="F169" s="3" t="inlineStr">
        <is>
          <t>2026-10-20 11:19</t>
        </is>
      </c>
      <c r="G169" s="3" t="inlineStr">
        <is>
          <t>Sent</t>
        </is>
      </c>
      <c r="H169" s="3" t="inlineStr"/>
      <c r="I169" s="3" t="n">
        <v>0</v>
      </c>
      <c r="J169" s="3" t="inlineStr">
        <is>
          <t>REV-STU-055-1</t>
        </is>
      </c>
    </row>
    <row r="170">
      <c r="A170" s="2" t="inlineStr">
        <is>
          <t>EML-1062</t>
        </is>
      </c>
      <c r="B170" s="2" t="inlineStr">
        <is>
          <t>STU-062</t>
        </is>
      </c>
      <c r="C170" s="2" t="inlineStr">
        <is>
          <t>student062@example-interns.edu</t>
        </is>
      </c>
      <c r="D170" s="2" t="inlineStr">
        <is>
          <t>Task Allocation</t>
        </is>
      </c>
      <c r="E170" s="2" t="inlineStr">
        <is>
          <t>[TASK-FSWD-202] Official Assignment &amp; Internship Instructions</t>
        </is>
      </c>
      <c r="F170" s="2" t="inlineStr">
        <is>
          <t>2026-10-20 11:19</t>
        </is>
      </c>
      <c r="G170" s="2" t="inlineStr">
        <is>
          <t>Sent</t>
        </is>
      </c>
      <c r="H170" s="2" t="inlineStr"/>
      <c r="I170" s="2" t="n">
        <v>0</v>
      </c>
      <c r="J170" s="2" t="inlineStr"/>
    </row>
    <row r="171">
      <c r="A171" s="3" t="inlineStr">
        <is>
          <t>EML-1069</t>
        </is>
      </c>
      <c r="B171" s="3" t="inlineStr">
        <is>
          <t>STU-069</t>
        </is>
      </c>
      <c r="C171" s="3" t="inlineStr">
        <is>
          <t>student069@example-interns.edu</t>
        </is>
      </c>
      <c r="D171" s="3" t="inlineStr">
        <is>
          <t>Task Allocation</t>
        </is>
      </c>
      <c r="E171" s="3" t="inlineStr">
        <is>
          <t>[TASK-DATA-301] Official Assignment &amp; Internship Instructions</t>
        </is>
      </c>
      <c r="F171" s="3" t="inlineStr">
        <is>
          <t>2026-10-20 11:19</t>
        </is>
      </c>
      <c r="G171" s="3" t="inlineStr">
        <is>
          <t>Sent</t>
        </is>
      </c>
      <c r="H171" s="3" t="inlineStr"/>
      <c r="I171" s="3" t="n">
        <v>0</v>
      </c>
      <c r="J171" s="3" t="inlineStr"/>
    </row>
    <row r="172">
      <c r="A172" s="2" t="inlineStr">
        <is>
          <t>EML-1076</t>
        </is>
      </c>
      <c r="B172" s="2" t="inlineStr">
        <is>
          <t>STU-076</t>
        </is>
      </c>
      <c r="C172" s="2" t="inlineStr">
        <is>
          <t>student076@example-interns.edu</t>
        </is>
      </c>
      <c r="D172" s="2" t="inlineStr">
        <is>
          <t>Task Allocation</t>
        </is>
      </c>
      <c r="E172" s="2" t="inlineStr">
        <is>
          <t>[TASK-DEVO-402] Official Assignment &amp; Internship Instructions</t>
        </is>
      </c>
      <c r="F172" s="2" t="inlineStr">
        <is>
          <t>2026-10-20 11:19</t>
        </is>
      </c>
      <c r="G172" s="2" t="inlineStr">
        <is>
          <t>Sent</t>
        </is>
      </c>
      <c r="H172" s="2" t="inlineStr"/>
      <c r="I172" s="2" t="n">
        <v>0</v>
      </c>
      <c r="J172" s="2" t="inlineStr"/>
    </row>
    <row r="173">
      <c r="A173" s="3" t="inlineStr">
        <is>
          <t>EML-1083</t>
        </is>
      </c>
      <c r="B173" s="3" t="inlineStr">
        <is>
          <t>STU-083</t>
        </is>
      </c>
      <c r="C173" s="3" t="inlineStr">
        <is>
          <t>student083@example-interns.edu</t>
        </is>
      </c>
      <c r="D173" s="3" t="inlineStr">
        <is>
          <t>Task Allocation</t>
        </is>
      </c>
      <c r="E173" s="3" t="inlineStr">
        <is>
          <t>[TASK-MOBL-501] Official Assignment &amp; Internship Instructions</t>
        </is>
      </c>
      <c r="F173" s="3" t="inlineStr">
        <is>
          <t>2026-10-20 11:19</t>
        </is>
      </c>
      <c r="G173" s="3" t="inlineStr">
        <is>
          <t>Sent</t>
        </is>
      </c>
      <c r="H173" s="3" t="inlineStr"/>
      <c r="I173" s="3" t="n">
        <v>0</v>
      </c>
      <c r="J173" s="3" t="inlineStr"/>
    </row>
    <row r="174">
      <c r="A174" s="2" t="inlineStr">
        <is>
          <t>EML-1090</t>
        </is>
      </c>
      <c r="B174" s="2" t="inlineStr">
        <is>
          <t>STU-090</t>
        </is>
      </c>
      <c r="C174" s="2" t="inlineStr">
        <is>
          <t>student090@example-interns.edu</t>
        </is>
      </c>
      <c r="D174" s="2" t="inlineStr">
        <is>
          <t>Task Allocation</t>
        </is>
      </c>
      <c r="E174" s="2" t="inlineStr">
        <is>
          <t>[TASK-CYBR-602] Official Assignment &amp; Internship Instructions</t>
        </is>
      </c>
      <c r="F174" s="2" t="inlineStr">
        <is>
          <t>2026-10-20 11:19</t>
        </is>
      </c>
      <c r="G174" s="2" t="inlineStr">
        <is>
          <t>Sent</t>
        </is>
      </c>
      <c r="H174" s="2" t="inlineStr"/>
      <c r="I174" s="2" t="n">
        <v>0</v>
      </c>
      <c r="J174" s="2" t="inlineStr"/>
    </row>
    <row r="175">
      <c r="A175" s="3" t="inlineStr">
        <is>
          <t>EML-1097</t>
        </is>
      </c>
      <c r="B175" s="3" t="inlineStr">
        <is>
          <t>STU-097</t>
        </is>
      </c>
      <c r="C175" s="3" t="inlineStr">
        <is>
          <t>student097@example-interns.edu</t>
        </is>
      </c>
      <c r="D175" s="3" t="inlineStr">
        <is>
          <t>Task Allocation</t>
        </is>
      </c>
      <c r="E175" s="3" t="inlineStr">
        <is>
          <t>[TASK-AIML-101] Official Assignment &amp; Internship Instructions</t>
        </is>
      </c>
      <c r="F175" s="3" t="inlineStr">
        <is>
          <t>2026-10-20 11:19</t>
        </is>
      </c>
      <c r="G175" s="3" t="inlineStr">
        <is>
          <t>Failed</t>
        </is>
      </c>
      <c r="H175" s="3" t="inlineStr">
        <is>
          <t>SMTP Mailbox Full / Temporary Network Timeout</t>
        </is>
      </c>
      <c r="I175" s="3" t="n">
        <v>2</v>
      </c>
      <c r="J175"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0"/>
  <sheetViews>
    <sheetView showGridLines="1" workbookViewId="0">
      <selection activeCell="A1" sqref="A1"/>
    </sheetView>
  </sheetViews>
  <sheetFormatPr baseColWidth="8" defaultRowHeight="15"/>
  <sheetData>
    <row r="1">
      <c r="A1" s="4" t="inlineStr">
        <is>
          <t>AI-POWERED INTERNSHIP AUTOMATION EXECUTIVE DASHBOARD</t>
        </is>
      </c>
    </row>
    <row r="2"/>
    <row r="3">
      <c r="A3" s="5" t="inlineStr">
        <is>
          <t>Real-Time Metrics &amp; Automated Audit Summary | Synchronized: 2026-10-26 12:42</t>
        </is>
      </c>
    </row>
    <row r="5">
      <c r="A5" s="6" t="inlineStr">
        <is>
          <t>TOTAL STUDENTS</t>
        </is>
      </c>
      <c r="B5" s="7" t="n"/>
      <c r="C5" s="6" t="inlineStr">
        <is>
          <t>ACTIVE INTERNS</t>
        </is>
      </c>
      <c r="D5" s="7" t="n"/>
      <c r="E5" s="6" t="inlineStr">
        <is>
          <t>TASKS ASSIGNED</t>
        </is>
      </c>
      <c r="F5" s="7" t="n"/>
      <c r="G5" s="6" t="inlineStr">
        <is>
          <t>TASKS COMPLETED</t>
        </is>
      </c>
      <c r="H5" s="7" t="n"/>
    </row>
    <row r="6">
      <c r="A6" s="8">
        <f>COUNTA('Student Master'!A2:A500)</f>
        <v/>
      </c>
      <c r="B6" s="7" t="n"/>
      <c r="C6" s="9">
        <f>COUNTIF('Student Master'!W2:W500, "Active") + COUNTIF('Student Master'!W2:W500, "In Progress")</f>
        <v/>
      </c>
      <c r="D6" s="7" t="n"/>
      <c r="E6" s="10">
        <f>COUNTIF('Student Master'!I2:I500, "&lt;&gt;")</f>
        <v/>
      </c>
      <c r="F6" s="7" t="n"/>
      <c r="G6" s="11">
        <f>COUNTIF('Student Master'!N2:N500, "Completed") + COUNTIF('Student Master'!N2:N500, "Approved")</f>
        <v/>
      </c>
      <c r="H6" s="7" t="n"/>
    </row>
    <row r="8">
      <c r="A8" s="6" t="inlineStr">
        <is>
          <t>PENDING TASKS</t>
        </is>
      </c>
      <c r="B8" s="7" t="n"/>
      <c r="C8" s="6" t="inlineStr">
        <is>
          <t>OVERDUE TASKS</t>
        </is>
      </c>
      <c r="D8" s="7" t="n"/>
      <c r="E8" s="6" t="inlineStr">
        <is>
          <t>REVIEWS SCHEDULED</t>
        </is>
      </c>
      <c r="F8" s="7" t="n"/>
      <c r="G8" s="6" t="inlineStr">
        <is>
          <t>REVIEWS COMPLETED</t>
        </is>
      </c>
      <c r="H8" s="7" t="n"/>
    </row>
    <row r="9">
      <c r="A9" s="12">
        <f>COUNTIF('Student Master'!N2:N500, "In Progress") + COUNTIF('Student Master'!N2:N500, "Assigned") + COUNTIF('Student Master'!N2:N500, "Resubmission Pending")</f>
        <v/>
      </c>
      <c r="B9" s="7" t="n"/>
      <c r="C9" s="13">
        <f>COUNTIF('Student Master'!N2:N500, "Overdue")</f>
        <v/>
      </c>
      <c r="D9" s="7" t="n"/>
      <c r="E9" s="14">
        <f>COUNTIF('Review Schedule'!L2:L500, "Scheduled")</f>
        <v/>
      </c>
      <c r="F9" s="7" t="n"/>
      <c r="G9" s="15">
        <f>COUNTIF('Review Schedule'!L2:L500, "Completed")</f>
        <v/>
      </c>
      <c r="H9" s="7" t="n"/>
    </row>
    <row r="11">
      <c r="A11" s="6" t="inlineStr">
        <is>
          <t>REVIEWS DUE TODAY</t>
        </is>
      </c>
      <c r="B11" s="7" t="n"/>
      <c r="C11" s="6" t="inlineStr">
        <is>
          <t>EMAILS SENT</t>
        </is>
      </c>
      <c r="D11" s="7" t="n"/>
      <c r="E11" s="6" t="inlineStr">
        <is>
          <t>EMAILS FAILED</t>
        </is>
      </c>
      <c r="F11" s="7" t="n"/>
      <c r="G11" s="6" t="inlineStr">
        <is>
          <t>AWAITING FEEDBACK</t>
        </is>
      </c>
      <c r="H11" s="7" t="n"/>
    </row>
    <row r="12">
      <c r="A12" s="16">
        <f>COUNTIF('Review Schedule'!G2:G500, "2026-10-26")</f>
        <v/>
      </c>
      <c r="B12" s="7" t="n"/>
      <c r="C12" s="17">
        <f>COUNTIF('Email Log'!G2:G500, "Sent")</f>
        <v/>
      </c>
      <c r="D12" s="7" t="n"/>
      <c r="E12" s="18">
        <f>COUNTIF('Email Log'!G2:G500, "Failed")</f>
        <v/>
      </c>
      <c r="F12" s="7" t="n"/>
      <c r="G12" s="19">
        <f>COUNTIF('Student Master'!N2:N500, "Under Review") + COUNTIF('Student Master'!N2:N500, "Submitted")</f>
        <v/>
      </c>
      <c r="H12" s="7" t="n"/>
    </row>
    <row r="15">
      <c r="A15" s="20" t="inlineStr">
        <is>
          <t>INTERNSHIP STATUS BREAKDOWN</t>
        </is>
      </c>
    </row>
    <row r="16">
      <c r="A16" s="21" t="inlineStr">
        <is>
          <t>Status</t>
        </is>
      </c>
      <c r="B16" s="21" t="inlineStr">
        <is>
          <t>Student Count</t>
        </is>
      </c>
    </row>
    <row r="17">
      <c r="A17" s="22" t="inlineStr">
        <is>
          <t>Completed</t>
        </is>
      </c>
      <c r="B17" s="23">
        <f>COUNTIF('Student Master'!W2:W500, "Completed")</f>
        <v/>
      </c>
    </row>
    <row r="18">
      <c r="A18" s="22" t="inlineStr">
        <is>
          <t>Active</t>
        </is>
      </c>
      <c r="B18" s="23">
        <f>COUNTIF('Student Master'!W2:W500, "Active")</f>
        <v/>
      </c>
    </row>
    <row r="19">
      <c r="A19" s="22" t="inlineStr">
        <is>
          <t>In Progress</t>
        </is>
      </c>
      <c r="B19" s="23">
        <f>COUNTIF('Student Master'!W2:W500, "In Progress")</f>
        <v/>
      </c>
    </row>
    <row r="20">
      <c r="A20" s="22" t="inlineStr">
        <is>
          <t>Not Started</t>
        </is>
      </c>
      <c r="B20" s="23">
        <f>COUNTIF('Student Master'!W2:W500, "Not Started")</f>
        <v/>
      </c>
    </row>
  </sheetData>
  <mergeCells count="25">
    <mergeCell ref="E12:F12"/>
    <mergeCell ref="G12:H12"/>
    <mergeCell ref="C6:D6"/>
    <mergeCell ref="A11:B11"/>
    <mergeCell ref="G11:H11"/>
    <mergeCell ref="C5:D5"/>
    <mergeCell ref="E5:F5"/>
    <mergeCell ref="G8:H8"/>
    <mergeCell ref="E8:F8"/>
    <mergeCell ref="A6:B6"/>
    <mergeCell ref="G6:H6"/>
    <mergeCell ref="C9:D9"/>
    <mergeCell ref="E9:F9"/>
    <mergeCell ref="A12:B12"/>
    <mergeCell ref="C12:D12"/>
    <mergeCell ref="E6:F6"/>
    <mergeCell ref="C11:D11"/>
    <mergeCell ref="E11:F11"/>
    <mergeCell ref="A5:B5"/>
    <mergeCell ref="G5:H5"/>
    <mergeCell ref="A1:H2"/>
    <mergeCell ref="A8:B8"/>
    <mergeCell ref="C8:D8"/>
    <mergeCell ref="A9:B9"/>
    <mergeCell ref="G9:H9"/>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2026-10-26T07:12:23Z</dcterms:created>
  <dcterms:modified xsi:type="dcterms:W3CDTF">2026-10-26T07:12:24Z</dcterms:modified>
</cp:coreProperties>
</file>